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0715" windowHeight="13155" tabRatio="600" firstSheet="0" activeTab="0" autoFilterDateGrouping="1"/>
  </bookViews>
  <sheets>
    <sheet name="Fromato No. 1" sheetId="1" state="visible" r:id="rId1"/>
    <sheet name="Formato No. 2" sheetId="2" state="visible" r:id="rId2"/>
    <sheet name="Codigo de Vendedores " sheetId="3" state="visible" r:id="rId3"/>
  </sheets>
  <definedNames>
    <definedName name="_xlnm.Print_Area" localSheetId="0">'Fromato No. 1'!$B$1:$N$41</definedName>
  </definedNames>
  <calcPr calcId="191029" fullCalcOnLoad="1"/>
</workbook>
</file>

<file path=xl/styles.xml><?xml version="1.0" encoding="utf-8"?>
<styleSheet xmlns="http://schemas.openxmlformats.org/spreadsheetml/2006/main">
  <numFmts count="6">
    <numFmt numFmtId="164" formatCode="_-* #,##0.00_-;\-* #,##0.00_-;_-* &quot;-&quot;??_-;_-@_-"/>
    <numFmt numFmtId="165" formatCode="_-[$$-409]* #,##0.0000_ ;_-[$$-409]* \-#,##0.0000\ ;_-[$$-409]* &quot;-&quot;??_ ;_-@_ "/>
    <numFmt numFmtId="166" formatCode="_-[$$-409]* #,##0.00_ ;_-[$$-409]* \-#,##0.00\ ;_-[$$-409]* &quot;-&quot;??_ ;_-@_ "/>
    <numFmt numFmtId="167" formatCode="_-* #,##0.00\ [$€-C0A]_-;\-* #,##0.00\ [$€-C0A]_-;_-* &quot;-&quot;??\ [$€-C0A]_-;_-@_-"/>
    <numFmt numFmtId="168" formatCode="_-[$$-409]* #,##0.000_ ;_-[$$-409]* \-#,##0.000\ ;_-[$$-409]* &quot;-&quot;??_ ;_-@_ "/>
    <numFmt numFmtId="169" formatCode="_-&quot;$&quot;* #,##0.00_-;\-&quot;$&quot;* #,##0.00_-;_-&quot;$&quot;* &quot;-&quot;??_-;_-@_-"/>
  </numFmts>
  <fonts count="47">
    <font>
      <name val="Calibri"/>
      <family val="2"/>
      <color theme="1"/>
      <sz val="11"/>
    </font>
    <font>
      <name val="Calibri"/>
      <family val="2"/>
      <color theme="1"/>
      <sz val="11"/>
    </font>
    <font>
      <name val="Segoe UI"/>
      <family val="2"/>
      <color theme="1"/>
      <sz val="9"/>
    </font>
    <font>
      <name val="Segoe UI"/>
      <family val="2"/>
      <b val="1"/>
      <color indexed="9"/>
      <sz val="11"/>
    </font>
    <font>
      <name val="Arial"/>
      <family val="2"/>
      <color indexed="12"/>
      <sz val="10"/>
      <u val="single"/>
    </font>
    <font>
      <name val="Segoe UI"/>
      <family val="2"/>
      <color theme="1"/>
      <sz val="10"/>
    </font>
    <font>
      <name val="Segoe UI"/>
      <family val="2"/>
      <i val="1"/>
      <sz val="10"/>
    </font>
    <font>
      <name val="Segoe UI"/>
      <family val="2"/>
      <b val="1"/>
      <color theme="1"/>
      <sz val="10"/>
    </font>
    <font>
      <name val="Segoe UI"/>
      <family val="2"/>
      <b val="1"/>
      <sz val="11"/>
    </font>
    <font>
      <name val="Arial"/>
      <family val="2"/>
      <sz val="10"/>
    </font>
    <font>
      <name val="Segoe UI"/>
      <family val="2"/>
      <b val="1"/>
      <color rgb="FFFF0000"/>
      <sz val="9"/>
    </font>
    <font>
      <name val="Segoe UI"/>
      <family val="2"/>
      <b val="1"/>
      <color indexed="9"/>
      <sz val="12"/>
    </font>
    <font>
      <name val="Segoe UI"/>
      <family val="2"/>
      <b val="1"/>
      <color indexed="9"/>
      <sz val="13"/>
    </font>
    <font>
      <name val="Segoe UI"/>
      <family val="2"/>
      <sz val="10"/>
    </font>
    <font>
      <name val="Segoe UI"/>
      <family val="2"/>
      <sz val="11"/>
    </font>
    <font>
      <name val="Segoe UI"/>
      <family val="2"/>
      <i val="1"/>
      <sz val="11"/>
    </font>
    <font>
      <name val="Segoe UI"/>
      <family val="2"/>
      <color indexed="12"/>
      <sz val="11"/>
      <u val="single"/>
    </font>
    <font>
      <name val="Segoe UI"/>
      <family val="2"/>
      <color theme="1" tint="0.0499893185216834"/>
      <sz val="9"/>
    </font>
    <font>
      <name val="Segoe UI"/>
      <family val="2"/>
      <sz val="18"/>
    </font>
    <font>
      <name val="Segoe UI"/>
      <family val="2"/>
      <b val="1"/>
      <color theme="2" tint="-0.749992370372631"/>
      <sz val="18"/>
    </font>
    <font>
      <name val="Segoe UI"/>
      <family val="2"/>
      <color theme="1" tint="0.0499893185216834"/>
      <sz val="14"/>
    </font>
    <font>
      <name val="Segoe UI"/>
      <family val="2"/>
      <color theme="1" tint="0.0499893185216834"/>
      <sz val="10"/>
    </font>
    <font>
      <name val="Segoe UI"/>
      <family val="2"/>
      <color theme="1" tint="0.0499893185216834"/>
      <sz val="11"/>
    </font>
    <font>
      <name val="Segoe UI"/>
      <family val="2"/>
      <color theme="1"/>
      <sz val="14"/>
    </font>
    <font>
      <name val="Segoe UI"/>
      <family val="2"/>
      <color theme="1"/>
      <sz val="11"/>
    </font>
    <font>
      <name val="Segoe UI"/>
      <family val="2"/>
      <b val="1"/>
      <color indexed="8"/>
      <sz val="10"/>
    </font>
    <font>
      <name val="Segoe UI"/>
      <family val="2"/>
      <b val="1"/>
      <color indexed="48"/>
      <sz val="14"/>
    </font>
    <font>
      <name val="Segoe UI"/>
      <family val="2"/>
      <b val="1"/>
      <color theme="1"/>
      <sz val="11"/>
    </font>
    <font>
      <name val="Segoe UI"/>
      <family val="2"/>
      <b val="1"/>
      <color indexed="9"/>
      <sz val="10"/>
    </font>
    <font>
      <name val="Segoe UI"/>
      <family val="2"/>
      <color indexed="12"/>
      <sz val="10"/>
      <u val="single"/>
    </font>
    <font>
      <name val="Segoe UI"/>
      <family val="2"/>
      <sz val="9"/>
    </font>
    <font>
      <name val="Segoe UI"/>
      <family val="2"/>
      <color theme="1"/>
      <sz val="12"/>
    </font>
    <font>
      <name val="Segoe UI"/>
      <family val="2"/>
      <b val="1"/>
      <sz val="10"/>
    </font>
    <font>
      <name val="Segoe UI"/>
      <family val="2"/>
      <b val="1"/>
      <sz val="10"/>
      <u val="single"/>
    </font>
    <font>
      <name val="Segoe UI"/>
      <family val="2"/>
      <sz val="10"/>
      <u val="single"/>
    </font>
    <font>
      <name val="Segoe UI"/>
      <family val="2"/>
      <b val="1"/>
      <color theme="1"/>
      <sz val="12"/>
    </font>
    <font>
      <name val="Segoe UI"/>
      <family val="2"/>
      <b val="1"/>
      <sz val="16"/>
    </font>
    <font>
      <name val="Segoe UI"/>
      <family val="2"/>
      <b val="1"/>
      <color theme="2" tint="-0.749992370372631"/>
      <sz val="16"/>
    </font>
    <font>
      <name val="Segoe UI"/>
      <family val="2"/>
      <b val="1"/>
      <color theme="1"/>
      <sz val="11"/>
      <u val="single"/>
    </font>
    <font>
      <name val="Arial"/>
      <family val="2"/>
      <b val="1"/>
      <color rgb="FF000000"/>
      <sz val="10"/>
    </font>
    <font>
      <name val="Times New Roman"/>
      <family val="1"/>
      <color theme="1"/>
      <sz val="11"/>
    </font>
    <font>
      <name val="Segoe UI"/>
      <family val="2"/>
      <b val="1"/>
      <color theme="5" tint="-0.249977111117893"/>
      <sz val="12"/>
    </font>
    <font>
      <name val="Segoe UI"/>
      <family val="2"/>
      <b val="1"/>
      <color theme="5" tint="-0.249977111117893"/>
      <sz val="13"/>
    </font>
    <font>
      <name val="Segoe UI"/>
      <family val="2"/>
      <color theme="5" tint="-0.249977111117893"/>
      <sz val="11"/>
    </font>
    <font>
      <name val="Times New Roman"/>
      <family val="1"/>
      <color theme="5" tint="-0.249977111117893"/>
      <sz val="11"/>
    </font>
    <font>
      <name val="Arial"/>
      <family val="2"/>
      <color theme="5" tint="-0.249977111117893"/>
      <sz val="10"/>
    </font>
    <font>
      <name val="Segoe UI"/>
      <family val="2"/>
      <b val="1"/>
      <color theme="5" tint="-0.249977111117893"/>
      <sz val="10"/>
      <u val="single"/>
    </font>
  </fonts>
  <fills count="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theme="1" tint="0.3499862666707358"/>
        <bgColor indexed="64"/>
      </patternFill>
    </fill>
  </fills>
  <borders count="29">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theme="8" tint="-0.499984740745262"/>
      </left>
      <right/>
      <top/>
      <bottom/>
      <diagonal/>
    </border>
    <border>
      <left/>
      <right style="medium">
        <color theme="8" tint="-0.499984740745262"/>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theme="8" tint="-0.499984740745262"/>
      </left>
      <right/>
      <top/>
      <bottom style="medium">
        <color indexed="64"/>
      </bottom>
      <diagonal/>
    </border>
  </borders>
  <cellStyleXfs count="8">
    <xf numFmtId="0" fontId="1" fillId="0" borderId="0"/>
    <xf numFmtId="164" fontId="1" fillId="0" borderId="0"/>
    <xf numFmtId="0" fontId="4" fillId="0" borderId="0" applyAlignment="1" applyProtection="1">
      <alignment vertical="top"/>
      <protection locked="0" hidden="0"/>
    </xf>
    <xf numFmtId="0" fontId="9" fillId="0" borderId="0"/>
    <xf numFmtId="169" fontId="9" fillId="0" borderId="0"/>
    <xf numFmtId="164" fontId="1" fillId="0" borderId="0"/>
    <xf numFmtId="169" fontId="9" fillId="0" borderId="0"/>
    <xf numFmtId="169" fontId="1" fillId="0" borderId="0"/>
  </cellStyleXfs>
  <cellXfs count="227">
    <xf numFmtId="0" fontId="0" fillId="0" borderId="0" pivotButton="0" quotePrefix="0" xfId="0"/>
    <xf numFmtId="0" fontId="2" fillId="2" borderId="0" applyAlignment="1" pivotButton="0" quotePrefix="1" xfId="0">
      <alignment horizontal="center" vertical="center" wrapText="1"/>
    </xf>
    <xf numFmtId="0" fontId="2" fillId="2" borderId="0" applyAlignment="1" pivotButton="0" quotePrefix="0" xfId="0">
      <alignment vertical="center" wrapText="1"/>
    </xf>
    <xf numFmtId="0" fontId="14" fillId="2" borderId="0" pivotButton="0" quotePrefix="0" xfId="0"/>
    <xf numFmtId="0" fontId="16" fillId="2" borderId="0" pivotButton="0" quotePrefix="0" xfId="2"/>
    <xf numFmtId="0" fontId="14" fillId="2" borderId="0" applyAlignment="1" pivotButton="0" quotePrefix="0" xfId="0">
      <alignment vertical="center"/>
    </xf>
    <xf numFmtId="0" fontId="17" fillId="2" borderId="0" applyAlignment="1" pivotButton="0" quotePrefix="0" xfId="0">
      <alignment horizontal="left" vertical="center" wrapText="1"/>
    </xf>
    <xf numFmtId="0" fontId="17" fillId="2" borderId="0" applyAlignment="1" pivotButton="0" quotePrefix="1" xfId="0">
      <alignment horizontal="center" vertical="center" wrapText="1"/>
    </xf>
    <xf numFmtId="0" fontId="17" fillId="2" borderId="0" applyAlignment="1" pivotButton="0" quotePrefix="0" xfId="0">
      <alignment vertical="center" wrapText="1"/>
    </xf>
    <xf numFmtId="0" fontId="17" fillId="2" borderId="0" applyAlignment="1" pivotButton="0" quotePrefix="0" xfId="0">
      <alignment horizontal="right" vertical="center" wrapText="1"/>
    </xf>
    <xf numFmtId="0" fontId="17" fillId="2" borderId="0" applyAlignment="1" pivotButton="0" quotePrefix="0" xfId="0">
      <alignment horizontal="center" vertical="center" wrapText="1"/>
    </xf>
    <xf numFmtId="0" fontId="10" fillId="2" borderId="0" applyAlignment="1" pivotButton="0" quotePrefix="0" xfId="0">
      <alignment horizontal="right" wrapText="1" indent="5"/>
    </xf>
    <xf numFmtId="0" fontId="13" fillId="2" borderId="0" pivotButton="0" quotePrefix="0" xfId="3"/>
    <xf numFmtId="0" fontId="18" fillId="2" borderId="0" pivotButton="0" quotePrefix="0" xfId="3"/>
    <xf numFmtId="0" fontId="19" fillId="2" borderId="0" pivotButton="0" quotePrefix="0" xfId="0"/>
    <xf numFmtId="0" fontId="20" fillId="2" borderId="0" pivotButton="0" quotePrefix="0" xfId="0"/>
    <xf numFmtId="0" fontId="21" fillId="2" borderId="0" pivotButton="0" quotePrefix="0" xfId="3"/>
    <xf numFmtId="0" fontId="22" fillId="2" borderId="0" pivotButton="0" quotePrefix="0" xfId="0"/>
    <xf numFmtId="0" fontId="23" fillId="2" borderId="0" applyAlignment="1" pivotButton="0" quotePrefix="0" xfId="0">
      <alignment horizontal="right" wrapText="1" indent="5"/>
    </xf>
    <xf numFmtId="0" fontId="23" fillId="2" borderId="0" pivotButton="0" quotePrefix="0" xfId="0"/>
    <xf numFmtId="0" fontId="24" fillId="2" borderId="0" pivotButton="0" quotePrefix="0" xfId="0"/>
    <xf numFmtId="0" fontId="25" fillId="2" borderId="0" applyAlignment="1" pivotButton="0" quotePrefix="0" xfId="3">
      <alignment horizontal="center" wrapText="1"/>
    </xf>
    <xf numFmtId="0" fontId="13" fillId="2" borderId="0" applyAlignment="1" pivotButton="0" quotePrefix="0" xfId="3">
      <alignment wrapText="1"/>
    </xf>
    <xf numFmtId="164" fontId="13" fillId="2" borderId="0" pivotButton="0" quotePrefix="0" xfId="3"/>
    <xf numFmtId="0" fontId="16" fillId="2" borderId="0" applyAlignment="1" pivotButton="0" quotePrefix="0" xfId="2">
      <alignment horizontal="center"/>
    </xf>
    <xf numFmtId="0" fontId="13" fillId="2" borderId="2" pivotButton="0" quotePrefix="0" xfId="3"/>
    <xf numFmtId="0" fontId="13" fillId="2" borderId="3" pivotButton="0" quotePrefix="0" xfId="3"/>
    <xf numFmtId="0" fontId="13" fillId="2" borderId="5" pivotButton="0" quotePrefix="0" xfId="3"/>
    <xf numFmtId="0" fontId="16" fillId="2" borderId="5" applyAlignment="1" pivotButton="0" quotePrefix="0" xfId="2">
      <alignment horizontal="center"/>
    </xf>
    <xf numFmtId="0" fontId="5" fillId="2" borderId="0" applyAlignment="1" pivotButton="0" quotePrefix="0" xfId="0">
      <alignment horizontal="center" vertical="center"/>
    </xf>
    <xf numFmtId="0" fontId="5" fillId="2" borderId="0" applyAlignment="1" pivotButton="0" quotePrefix="0" xfId="0">
      <alignment horizontal="center" vertical="center" wrapText="1"/>
    </xf>
    <xf numFmtId="0" fontId="5" fillId="2" borderId="0" applyAlignment="1" pivotButton="0" quotePrefix="0" xfId="0">
      <alignment horizontal="center"/>
    </xf>
    <xf numFmtId="3" fontId="5" fillId="2" borderId="0" applyAlignment="1" pivotButton="0" quotePrefix="0" xfId="0">
      <alignment horizontal="center"/>
    </xf>
    <xf numFmtId="165" fontId="5" fillId="2" borderId="0" applyAlignment="1" pivotButton="0" quotePrefix="0" xfId="0">
      <alignment horizontal="center"/>
    </xf>
    <xf numFmtId="166" fontId="5" fillId="2" borderId="0" applyAlignment="1" pivotButton="0" quotePrefix="0" xfId="0">
      <alignment horizontal="center"/>
    </xf>
    <xf numFmtId="0" fontId="5" fillId="2" borderId="0" applyAlignment="1" pivotButton="0" quotePrefix="0" xfId="0">
      <alignment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xf>
    <xf numFmtId="0" fontId="26" fillId="2" borderId="0" pivotButton="0" quotePrefix="0" xfId="0"/>
    <xf numFmtId="0" fontId="23" fillId="2" borderId="0" applyAlignment="1" pivotButton="0" quotePrefix="0" xfId="0">
      <alignment horizontal="center"/>
    </xf>
    <xf numFmtId="0" fontId="24" fillId="2" borderId="4" pivotButton="0" quotePrefix="0" xfId="0"/>
    <xf numFmtId="0" fontId="24" fillId="2" borderId="5" pivotButton="0" quotePrefix="0" xfId="0"/>
    <xf numFmtId="0" fontId="24" fillId="2" borderId="3" pivotButton="0" quotePrefix="0" xfId="0"/>
    <xf numFmtId="0" fontId="24" fillId="2" borderId="0" applyAlignment="1" pivotButton="0" quotePrefix="0" xfId="0">
      <alignment horizontal="center"/>
    </xf>
    <xf numFmtId="0" fontId="3" fillId="2" borderId="0" applyAlignment="1" pivotButton="0" quotePrefix="0" xfId="0">
      <alignment horizontal="center" vertical="center" wrapText="1"/>
    </xf>
    <xf numFmtId="0" fontId="3" fillId="2" borderId="0" applyAlignment="1" pivotButton="0" quotePrefix="0" xfId="0">
      <alignment horizontal="center" vertical="center"/>
    </xf>
    <xf numFmtId="15" fontId="3" fillId="2" borderId="0" applyAlignment="1" pivotButton="0" quotePrefix="0" xfId="0">
      <alignment horizontal="center" vertical="center" wrapText="1"/>
    </xf>
    <xf numFmtId="0" fontId="31" fillId="2" borderId="0" pivotButton="0" quotePrefix="0" xfId="0"/>
    <xf numFmtId="0" fontId="16" fillId="2" borderId="7" applyAlignment="1" pivotButton="0" quotePrefix="0" xfId="2">
      <alignment horizontal="center"/>
    </xf>
    <xf numFmtId="0" fontId="16" fillId="2" borderId="8" applyAlignment="1" pivotButton="0" quotePrefix="0" xfId="2">
      <alignment horizontal="center"/>
    </xf>
    <xf numFmtId="0" fontId="24" fillId="2" borderId="0" applyAlignment="1" pivotButton="0" quotePrefix="0" xfId="0">
      <alignment horizontal="left" vertical="center" indent="1"/>
    </xf>
    <xf numFmtId="0" fontId="30" fillId="2" borderId="0" applyAlignment="1" pivotButton="0" quotePrefix="0" xfId="0">
      <alignment horizontal="left" vertical="center" indent="1"/>
    </xf>
    <xf numFmtId="0" fontId="30" fillId="2" borderId="5" applyAlignment="1" pivotButton="0" quotePrefix="0" xfId="0">
      <alignment horizontal="left" vertical="center" indent="1"/>
    </xf>
    <xf numFmtId="0" fontId="24" fillId="2" borderId="5" applyAlignment="1" pivotButton="0" quotePrefix="0" xfId="0">
      <alignment horizontal="left" vertical="center" indent="1"/>
    </xf>
    <xf numFmtId="0" fontId="13" fillId="2" borderId="2" applyAlignment="1" pivotButton="0" quotePrefix="0" xfId="3">
      <alignment horizontal="left" vertical="center" indent="1"/>
    </xf>
    <xf numFmtId="0" fontId="24" fillId="2" borderId="2" applyAlignment="1" pivotButton="0" quotePrefix="0" xfId="0">
      <alignment horizontal="left" vertical="center" indent="1"/>
    </xf>
    <xf numFmtId="0" fontId="24" fillId="2" borderId="3" applyAlignment="1" pivotButton="0" quotePrefix="0" xfId="0">
      <alignment horizontal="left" vertical="center" indent="1"/>
    </xf>
    <xf numFmtId="0" fontId="24" fillId="2" borderId="1" pivotButton="0" quotePrefix="0" xfId="0"/>
    <xf numFmtId="0" fontId="24" fillId="2" borderId="2" pivotButton="0" quotePrefix="0" xfId="0"/>
    <xf numFmtId="0" fontId="8" fillId="2" borderId="2" applyAlignment="1" pivotButton="0" quotePrefix="0" xfId="3">
      <alignment horizontal="left" vertical="center" wrapText="1" indent="1"/>
    </xf>
    <xf numFmtId="0" fontId="14" fillId="2" borderId="7" applyAlignment="1" pivotButton="0" quotePrefix="0" xfId="3">
      <alignment horizontal="left" vertical="center" indent="1"/>
    </xf>
    <xf numFmtId="0" fontId="14" fillId="2" borderId="0" applyAlignment="1" pivotButton="0" quotePrefix="0" xfId="3">
      <alignment horizontal="left" vertical="center" indent="1"/>
    </xf>
    <xf numFmtId="0" fontId="3" fillId="2" borderId="2" applyAlignment="1" pivotButton="0" quotePrefix="0" xfId="3">
      <alignment horizontal="center"/>
    </xf>
    <xf numFmtId="0" fontId="3" fillId="2" borderId="15" applyAlignment="1" pivotButton="0" quotePrefix="0" xfId="3">
      <alignment horizontal="center"/>
    </xf>
    <xf numFmtId="0" fontId="35" fillId="2" borderId="0" applyAlignment="1" pivotButton="0" quotePrefix="0" xfId="0">
      <alignment wrapText="1"/>
    </xf>
    <xf numFmtId="0" fontId="36" fillId="2" borderId="0" pivotButton="0" quotePrefix="0" xfId="0"/>
    <xf numFmtId="0" fontId="37" fillId="2" borderId="0" pivotButton="0" quotePrefix="0" xfId="0"/>
    <xf numFmtId="0" fontId="24" fillId="2" borderId="0" applyAlignment="1" pivotButton="0" quotePrefix="0" xfId="0">
      <alignment vertical="center" wrapText="1"/>
    </xf>
    <xf numFmtId="0" fontId="24" fillId="2" borderId="19" applyAlignment="1" pivotButton="0" quotePrefix="0" xfId="0">
      <alignment horizontal="center" vertical="center" wrapText="1"/>
    </xf>
    <xf numFmtId="0" fontId="24" fillId="2" borderId="20" applyAlignment="1" pivotButton="0" quotePrefix="0" xfId="0">
      <alignment horizontal="center" vertical="center" wrapText="1"/>
    </xf>
    <xf numFmtId="3" fontId="24" fillId="2" borderId="20" applyAlignment="1" pivotButton="0" quotePrefix="0" xfId="0">
      <alignment horizontal="center" vertical="center" wrapText="1"/>
    </xf>
    <xf numFmtId="167" fontId="24" fillId="2" borderId="20" applyAlignment="1" pivotButton="0" quotePrefix="0" xfId="0">
      <alignment horizontal="left" vertical="center" wrapText="1" indent="2"/>
    </xf>
    <xf numFmtId="167" fontId="24" fillId="2" borderId="21" applyAlignment="1" pivotButton="0" quotePrefix="0" xfId="0">
      <alignment horizontal="left" vertical="center" wrapText="1" indent="2"/>
    </xf>
    <xf numFmtId="0" fontId="7" fillId="3" borderId="16" applyAlignment="1" pivotButton="0" quotePrefix="0" xfId="0">
      <alignment horizontal="center" vertical="center"/>
    </xf>
    <xf numFmtId="0" fontId="7" fillId="3" borderId="17" applyAlignment="1" pivotButton="0" quotePrefix="0" xfId="0">
      <alignment horizontal="center" vertical="center" wrapText="1"/>
    </xf>
    <xf numFmtId="0" fontId="7" fillId="3" borderId="18" applyAlignment="1" pivotButton="0" quotePrefix="0" xfId="0">
      <alignment horizontal="center" vertical="center" wrapText="1"/>
    </xf>
    <xf numFmtId="0" fontId="8" fillId="2" borderId="0" pivotButton="0" quotePrefix="0" xfId="0"/>
    <xf numFmtId="0" fontId="8" fillId="0" borderId="0" applyAlignment="1" pivotButton="0" quotePrefix="0" xfId="3">
      <alignment vertical="center" wrapText="1"/>
    </xf>
    <xf numFmtId="0" fontId="8" fillId="2" borderId="0" applyAlignment="1" pivotButton="0" quotePrefix="0" xfId="0">
      <alignment vertical="center"/>
    </xf>
    <xf numFmtId="0" fontId="2" fillId="2" borderId="0" applyAlignment="1" pivotButton="0" quotePrefix="0" xfId="0">
      <alignment horizontal="center" vertical="center" wrapText="1"/>
    </xf>
    <xf numFmtId="0" fontId="25" fillId="3" borderId="22" applyAlignment="1" pivotButton="0" quotePrefix="0" xfId="3">
      <alignment horizontal="center" vertical="center"/>
    </xf>
    <xf numFmtId="0" fontId="25" fillId="3" borderId="23" applyAlignment="1" pivotButton="0" quotePrefix="0" xfId="3">
      <alignment horizontal="center" vertical="center" wrapText="1"/>
    </xf>
    <xf numFmtId="0" fontId="25" fillId="3" borderId="23" applyAlignment="1" pivotButton="0" quotePrefix="0" xfId="3">
      <alignment horizontal="center" vertical="center"/>
    </xf>
    <xf numFmtId="0" fontId="25" fillId="3" borderId="24" applyAlignment="1" pivotButton="0" quotePrefix="0" xfId="3">
      <alignment horizontal="center" vertical="center" wrapText="1"/>
    </xf>
    <xf numFmtId="0" fontId="0" fillId="0" borderId="0" applyAlignment="1" pivotButton="0" quotePrefix="0" xfId="0">
      <alignment horizontal="center"/>
    </xf>
    <xf numFmtId="0" fontId="27" fillId="2" borderId="4" applyAlignment="1" pivotButton="0" quotePrefix="0" xfId="0">
      <alignment horizontal="left" vertical="center" indent="1"/>
    </xf>
    <xf numFmtId="0" fontId="14" fillId="2" borderId="5" applyAlignment="1" pivotButton="0" quotePrefix="0" xfId="3">
      <alignment horizontal="left" vertical="center" indent="1"/>
    </xf>
    <xf numFmtId="0" fontId="36" fillId="2" borderId="0" applyAlignment="1" pivotButton="0" quotePrefix="0" xfId="0">
      <alignment horizontal="left"/>
    </xf>
    <xf numFmtId="0" fontId="24" fillId="2" borderId="6" applyAlignment="1" pivotButton="0" quotePrefix="0" xfId="0">
      <alignment horizontal="left" vertical="center" indent="1"/>
    </xf>
    <xf numFmtId="0" fontId="30" fillId="2" borderId="7" applyAlignment="1" pivotButton="0" quotePrefix="0" xfId="0">
      <alignment horizontal="left" vertical="center" indent="1"/>
    </xf>
    <xf numFmtId="0" fontId="30" fillId="2" borderId="8" applyAlignment="1" pivotButton="0" quotePrefix="0" xfId="0">
      <alignment horizontal="left" vertical="center" indent="1"/>
    </xf>
    <xf numFmtId="0" fontId="24" fillId="2" borderId="4" applyAlignment="1" pivotButton="0" quotePrefix="0" xfId="0">
      <alignment horizontal="left" vertical="center" indent="1"/>
    </xf>
    <xf numFmtId="0" fontId="13" fillId="2" borderId="1" applyAlignment="1" pivotButton="0" quotePrefix="0" xfId="3">
      <alignment horizontal="left" vertical="center" indent="1"/>
    </xf>
    <xf numFmtId="0" fontId="12" fillId="4" borderId="9" applyAlignment="1" pivotButton="0" quotePrefix="0" xfId="3">
      <alignment horizontal="center"/>
    </xf>
    <xf numFmtId="0" fontId="12" fillId="4" borderId="9" applyAlignment="1" pivotButton="0" quotePrefix="0" xfId="3">
      <alignment wrapText="1"/>
    </xf>
    <xf numFmtId="0" fontId="24" fillId="0" borderId="0" applyAlignment="1" pivotButton="0" quotePrefix="0" xfId="0">
      <alignment horizontal="center" vertical="center"/>
    </xf>
    <xf numFmtId="0" fontId="11" fillId="4" borderId="10" applyAlignment="1" pivotButton="0" quotePrefix="0" xfId="0">
      <alignment horizontal="center" vertical="center" wrapText="1"/>
    </xf>
    <xf numFmtId="0" fontId="11" fillId="4" borderId="12" applyAlignment="1" pivotButton="0" quotePrefix="0" xfId="0">
      <alignment horizontal="center" vertical="center" wrapText="1"/>
    </xf>
    <xf numFmtId="0" fontId="4" fillId="0" borderId="4" applyAlignment="1" pivotButton="0" quotePrefix="0" xfId="2">
      <alignment vertical="center"/>
    </xf>
    <xf numFmtId="0" fontId="13" fillId="2" borderId="3" applyAlignment="1" pivotButton="0" quotePrefix="0" xfId="3">
      <alignment horizontal="left" vertical="center" indent="1"/>
    </xf>
    <xf numFmtId="0" fontId="14" fillId="0" borderId="13" applyAlignment="1" pivotButton="0" quotePrefix="0" xfId="3">
      <alignment horizontal="center"/>
    </xf>
    <xf numFmtId="0" fontId="14" fillId="0" borderId="13" applyAlignment="1" pivotButton="0" quotePrefix="0" xfId="3">
      <alignment horizontal="center" vertical="center"/>
    </xf>
    <xf numFmtId="3" fontId="14" fillId="0" borderId="13" applyAlignment="1" pivotButton="0" quotePrefix="0" xfId="3">
      <alignment horizontal="center" vertical="center"/>
    </xf>
    <xf numFmtId="0" fontId="15" fillId="0" borderId="13" applyAlignment="1" pivotButton="0" quotePrefix="0" xfId="3">
      <alignment horizontal="center"/>
    </xf>
    <xf numFmtId="168" fontId="14" fillId="0" borderId="13" applyAlignment="1" pivotButton="0" quotePrefix="0" xfId="1">
      <alignment horizontal="center" vertical="center"/>
    </xf>
    <xf numFmtId="166" fontId="14" fillId="0" borderId="13" applyAlignment="1" pivotButton="0" quotePrefix="0" xfId="1">
      <alignment horizontal="center" vertical="center"/>
    </xf>
    <xf numFmtId="166" fontId="14" fillId="0" borderId="13" applyAlignment="1" pivotButton="0" quotePrefix="0" xfId="4">
      <alignment horizontal="center" vertical="center"/>
    </xf>
    <xf numFmtId="166" fontId="14" fillId="2" borderId="13" applyAlignment="1" pivotButton="0" quotePrefix="0" xfId="4">
      <alignment horizontal="center" vertical="center"/>
    </xf>
    <xf numFmtId="0" fontId="9" fillId="0" borderId="0" pivotButton="0" quotePrefix="0" xfId="0"/>
    <xf numFmtId="0" fontId="9" fillId="0" borderId="0" applyAlignment="1" pivotButton="0" quotePrefix="0" xfId="0">
      <alignment horizontal="center"/>
    </xf>
    <xf numFmtId="0" fontId="39" fillId="0" borderId="0" applyAlignment="1" pivotButton="0" quotePrefix="0" xfId="0">
      <alignment horizontal="center" wrapText="1"/>
    </xf>
    <xf numFmtId="3" fontId="14" fillId="2" borderId="13" applyAlignment="1" pivotButton="0" quotePrefix="0" xfId="3">
      <alignment horizontal="center" vertical="center"/>
    </xf>
    <xf numFmtId="168" fontId="14" fillId="2" borderId="13" applyAlignment="1" pivotButton="0" quotePrefix="0" xfId="1">
      <alignment horizontal="center" vertical="center"/>
    </xf>
    <xf numFmtId="166" fontId="14" fillId="2" borderId="13" applyAlignment="1" pivotButton="0" quotePrefix="0" xfId="1">
      <alignment horizontal="center" vertical="center"/>
    </xf>
    <xf numFmtId="0" fontId="40" fillId="0" borderId="13" applyAlignment="1" pivotButton="0" quotePrefix="0" xfId="0">
      <alignment vertical="center"/>
    </xf>
    <xf numFmtId="0" fontId="36" fillId="2" borderId="0" applyAlignment="1" pivotButton="0" quotePrefix="0" xfId="0">
      <alignment horizontal="left"/>
    </xf>
    <xf numFmtId="0" fontId="17" fillId="2" borderId="0" applyAlignment="1" pivotButton="0" quotePrefix="0" xfId="0">
      <alignment horizontal="left" vertical="center" wrapText="1" indent="5"/>
    </xf>
    <xf numFmtId="14" fontId="17" fillId="2" borderId="0" applyAlignment="1" pivotButton="0" quotePrefix="0" xfId="0">
      <alignment horizontal="left" vertical="center" wrapText="1" indent="5"/>
    </xf>
    <xf numFmtId="0" fontId="8" fillId="2" borderId="14" applyAlignment="1" pivotButton="0" quotePrefix="0" xfId="3">
      <alignment horizontal="center"/>
    </xf>
    <xf numFmtId="0" fontId="8" fillId="2" borderId="0" applyAlignment="1" pivotButton="0" quotePrefix="0" xfId="3">
      <alignment horizontal="center"/>
    </xf>
    <xf numFmtId="0" fontId="8" fillId="2" borderId="2" applyAlignment="1" pivotButton="0" quotePrefix="0" xfId="3">
      <alignment horizontal="center"/>
    </xf>
    <xf numFmtId="0" fontId="13" fillId="2" borderId="0" applyAlignment="1" pivotButton="0" quotePrefix="0" xfId="3">
      <alignment horizontal="center" vertical="center" wrapText="1"/>
    </xf>
    <xf numFmtId="0" fontId="13" fillId="2" borderId="0" applyAlignment="1" pivotButton="0" quotePrefix="0" xfId="3">
      <alignment horizontal="left" wrapText="1"/>
    </xf>
    <xf numFmtId="0" fontId="7" fillId="2" borderId="2" applyAlignment="1" pivotButton="0" quotePrefix="0" xfId="0">
      <alignment horizontal="center" vertical="center" wrapText="1"/>
    </xf>
    <xf numFmtId="0" fontId="8" fillId="2" borderId="1" applyAlignment="1" pivotButton="0" quotePrefix="0" xfId="3">
      <alignment horizontal="left" vertical="center" wrapText="1" indent="1"/>
    </xf>
    <xf numFmtId="0" fontId="8" fillId="2" borderId="2" applyAlignment="1" pivotButton="0" quotePrefix="0" xfId="3">
      <alignment horizontal="left" vertical="center" wrapText="1" indent="1"/>
    </xf>
    <xf numFmtId="0" fontId="8" fillId="2" borderId="3" applyAlignment="1" pivotButton="0" quotePrefix="0" xfId="3">
      <alignment horizontal="left" vertical="center" wrapText="1" indent="1"/>
    </xf>
    <xf numFmtId="0" fontId="14" fillId="2" borderId="6" applyAlignment="1" pivotButton="0" quotePrefix="0" xfId="3">
      <alignment horizontal="left" vertical="center" indent="1"/>
    </xf>
    <xf numFmtId="0" fontId="14" fillId="2" borderId="7" applyAlignment="1" pivotButton="0" quotePrefix="0" xfId="3">
      <alignment horizontal="left" vertical="center" indent="1"/>
    </xf>
    <xf numFmtId="0" fontId="14" fillId="2" borderId="8" applyAlignment="1" pivotButton="0" quotePrefix="0" xfId="3">
      <alignment horizontal="left" vertical="center" indent="1"/>
    </xf>
    <xf numFmtId="0" fontId="14" fillId="3" borderId="6" applyAlignment="1" pivotButton="0" quotePrefix="0" xfId="3">
      <alignment horizontal="left" vertical="center" wrapText="1" indent="1"/>
    </xf>
    <xf numFmtId="0" fontId="14" fillId="3" borderId="7" applyAlignment="1" pivotButton="0" quotePrefix="0" xfId="3">
      <alignment horizontal="left" vertical="center" wrapText="1" indent="1"/>
    </xf>
    <xf numFmtId="0" fontId="14" fillId="3" borderId="8" applyAlignment="1" pivotButton="0" quotePrefix="0" xfId="3">
      <alignment horizontal="left" vertical="center" wrapText="1" indent="1"/>
    </xf>
    <xf numFmtId="0" fontId="14" fillId="3" borderId="4" applyAlignment="1" pivotButton="0" quotePrefix="0" xfId="3">
      <alignment horizontal="left" vertical="center" wrapText="1" indent="1"/>
    </xf>
    <xf numFmtId="0" fontId="14" fillId="3" borderId="0" applyAlignment="1" pivotButton="0" quotePrefix="0" xfId="3">
      <alignment horizontal="left" vertical="center" wrapText="1" indent="1"/>
    </xf>
    <xf numFmtId="0" fontId="14" fillId="3" borderId="5" applyAlignment="1" pivotButton="0" quotePrefix="0" xfId="3">
      <alignment horizontal="left" vertical="center" wrapText="1" indent="1"/>
    </xf>
    <xf numFmtId="0" fontId="24" fillId="2" borderId="4" applyAlignment="1" pivotButton="0" quotePrefix="0" xfId="0">
      <alignment horizontal="left" vertical="center" wrapText="1"/>
    </xf>
    <xf numFmtId="0" fontId="24" fillId="2" borderId="0" applyAlignment="1" pivotButton="0" quotePrefix="0" xfId="0">
      <alignment horizontal="left" vertical="center" wrapText="1"/>
    </xf>
    <xf numFmtId="0" fontId="24" fillId="2" borderId="5" applyAlignment="1" pivotButton="0" quotePrefix="0" xfId="0">
      <alignment horizontal="left" vertical="center" wrapText="1"/>
    </xf>
    <xf numFmtId="0" fontId="8" fillId="2" borderId="1" applyAlignment="1" pivotButton="0" quotePrefix="0" xfId="0">
      <alignment horizontal="center" vertical="center"/>
    </xf>
    <xf numFmtId="0" fontId="8" fillId="2" borderId="2" applyAlignment="1" pivotButton="0" quotePrefix="0" xfId="0">
      <alignment horizontal="center" vertical="center"/>
    </xf>
    <xf numFmtId="0" fontId="8" fillId="2" borderId="3" applyAlignment="1" pivotButton="0" quotePrefix="0" xfId="0">
      <alignment horizontal="center" vertical="center"/>
    </xf>
    <xf numFmtId="0" fontId="4" fillId="0" borderId="4" applyAlignment="1" pivotButton="0" quotePrefix="0" xfId="2">
      <alignment horizontal="center" vertical="center" wrapText="1"/>
    </xf>
    <xf numFmtId="0" fontId="4" fillId="0" borderId="0" applyAlignment="1" pivotButton="0" quotePrefix="0" xfId="2">
      <alignment horizontal="center" vertical="center" wrapText="1"/>
    </xf>
    <xf numFmtId="0" fontId="4" fillId="0" borderId="5" applyAlignment="1" pivotButton="0" quotePrefix="0" xfId="2">
      <alignment horizontal="center" vertical="center" wrapText="1"/>
    </xf>
    <xf numFmtId="0" fontId="8" fillId="2" borderId="4" applyAlignment="1" pivotButton="0" quotePrefix="0" xfId="0">
      <alignment horizontal="center"/>
    </xf>
    <xf numFmtId="0" fontId="8" fillId="2" borderId="0" applyAlignment="1" pivotButton="0" quotePrefix="0" xfId="0">
      <alignment horizontal="center"/>
    </xf>
    <xf numFmtId="0" fontId="8" fillId="2" borderId="5" applyAlignment="1" pivotButton="0" quotePrefix="0" xfId="0">
      <alignment horizontal="center"/>
    </xf>
    <xf numFmtId="0" fontId="8" fillId="2" borderId="6" applyAlignment="1" pivotButton="0" quotePrefix="0" xfId="0">
      <alignment horizontal="center"/>
    </xf>
    <xf numFmtId="0" fontId="8" fillId="2" borderId="7" applyAlignment="1" pivotButton="0" quotePrefix="0" xfId="0">
      <alignment horizontal="center"/>
    </xf>
    <xf numFmtId="0" fontId="8" fillId="2" borderId="8" applyAlignment="1" pivotButton="0" quotePrefix="0" xfId="0">
      <alignment horizontal="center"/>
    </xf>
    <xf numFmtId="0" fontId="11" fillId="4" borderId="9" applyAlignment="1" pivotButton="0" quotePrefix="0" xfId="0">
      <alignment horizontal="center" vertical="center" wrapText="1"/>
    </xf>
    <xf numFmtId="0" fontId="24" fillId="2" borderId="4" applyAlignment="1" pivotButton="0" quotePrefix="0" xfId="0">
      <alignment horizontal="left" vertical="center" wrapText="1" indent="1"/>
    </xf>
    <xf numFmtId="0" fontId="27" fillId="2" borderId="0" applyAlignment="1" pivotButton="0" quotePrefix="0" xfId="0">
      <alignment horizontal="left" vertical="center" wrapText="1" indent="1"/>
    </xf>
    <xf numFmtId="0" fontId="27" fillId="2" borderId="5" applyAlignment="1" pivotButton="0" quotePrefix="0" xfId="0">
      <alignment horizontal="left" vertical="center" wrapText="1" indent="1"/>
    </xf>
    <xf numFmtId="0" fontId="19" fillId="2" borderId="0" applyAlignment="1" pivotButton="0" quotePrefix="0" xfId="0">
      <alignment horizontal="left"/>
    </xf>
    <xf numFmtId="0" fontId="2" fillId="2" borderId="0" applyAlignment="1" pivotButton="0" quotePrefix="0" xfId="0">
      <alignment horizontal="left" vertical="center" wrapText="1"/>
    </xf>
    <xf numFmtId="15" fontId="11" fillId="4" borderId="9" applyAlignment="1" pivotButton="0" quotePrefix="0" xfId="0">
      <alignment horizontal="center" vertical="center" wrapText="1"/>
    </xf>
    <xf numFmtId="0" fontId="11" fillId="4" borderId="11" applyAlignment="1" pivotButton="0" quotePrefix="0" xfId="0">
      <alignment horizontal="center" vertical="center" wrapText="1"/>
    </xf>
    <xf numFmtId="0" fontId="24" fillId="3" borderId="6" applyAlignment="1" pivotButton="0" quotePrefix="0" xfId="0">
      <alignment horizontal="left" vertical="center" wrapText="1" indent="1"/>
    </xf>
    <xf numFmtId="0" fontId="27" fillId="3" borderId="7" applyAlignment="1" pivotButton="0" quotePrefix="0" xfId="0">
      <alignment horizontal="left" vertical="center" wrapText="1" indent="1"/>
    </xf>
    <xf numFmtId="0" fontId="38" fillId="3" borderId="4" applyAlignment="1" pivotButton="0" quotePrefix="0" xfId="0">
      <alignment horizontal="left" vertical="center" wrapText="1" indent="1"/>
    </xf>
    <xf numFmtId="0" fontId="24" fillId="3" borderId="0" applyAlignment="1" pivotButton="0" quotePrefix="0" xfId="0">
      <alignment horizontal="left" vertical="center" wrapText="1" indent="1"/>
    </xf>
    <xf numFmtId="0" fontId="24" fillId="3" borderId="4" applyAlignment="1" pivotButton="0" quotePrefix="0" xfId="0">
      <alignment horizontal="left" vertical="center" wrapText="1" indent="1"/>
    </xf>
    <xf numFmtId="0" fontId="24" fillId="3" borderId="4" applyAlignment="1" pivotButton="0" quotePrefix="0" xfId="0">
      <alignment horizontal="left" vertical="center" indent="1"/>
    </xf>
    <xf numFmtId="0" fontId="24" fillId="3" borderId="0" applyAlignment="1" pivotButton="0" quotePrefix="0" xfId="0">
      <alignment horizontal="left" vertical="center" indent="1"/>
    </xf>
    <xf numFmtId="0" fontId="28" fillId="2" borderId="0" applyAlignment="1" pivotButton="0" quotePrefix="0" xfId="0">
      <alignment horizontal="center"/>
    </xf>
    <xf numFmtId="0" fontId="7" fillId="2" borderId="0" applyAlignment="1" pivotButton="0" quotePrefix="0" xfId="0">
      <alignment horizontal="center" vertical="center" wrapText="1"/>
    </xf>
    <xf numFmtId="14" fontId="17" fillId="2" borderId="0" applyAlignment="1" pivotButton="0" quotePrefix="0" xfId="0">
      <alignment horizontal="left" vertical="center" wrapText="1"/>
    </xf>
    <xf numFmtId="0" fontId="27" fillId="2" borderId="4" applyAlignment="1" pivotButton="0" quotePrefix="0" xfId="0">
      <alignment horizontal="left" vertical="center" indent="1"/>
    </xf>
    <xf numFmtId="0" fontId="27" fillId="2" borderId="0" applyAlignment="1" pivotButton="0" quotePrefix="0" xfId="0">
      <alignment horizontal="left" vertical="center" indent="1"/>
    </xf>
    <xf numFmtId="0" fontId="27" fillId="2" borderId="5" applyAlignment="1" pivotButton="0" quotePrefix="0" xfId="0">
      <alignment horizontal="left" vertical="center" indent="1"/>
    </xf>
    <xf numFmtId="0" fontId="8" fillId="0" borderId="4" applyAlignment="1" pivotButton="0" quotePrefix="0" xfId="3">
      <alignment horizontal="center" vertical="center" wrapText="1"/>
    </xf>
    <xf numFmtId="0" fontId="8" fillId="0" borderId="0" applyAlignment="1" pivotButton="0" quotePrefix="0" xfId="3">
      <alignment horizontal="center" vertical="center" wrapText="1"/>
    </xf>
    <xf numFmtId="0" fontId="8" fillId="0" borderId="5" applyAlignment="1" pivotButton="0" quotePrefix="0" xfId="3">
      <alignment horizontal="center" vertical="center" wrapText="1"/>
    </xf>
    <xf numFmtId="0" fontId="8" fillId="2" borderId="4" applyAlignment="1" pivotButton="0" quotePrefix="0" xfId="0">
      <alignment horizontal="center" vertical="center"/>
    </xf>
    <xf numFmtId="0" fontId="8" fillId="2" borderId="0" applyAlignment="1" pivotButton="0" quotePrefix="0" xfId="0">
      <alignment horizontal="center" vertical="center"/>
    </xf>
    <xf numFmtId="0" fontId="8" fillId="2" borderId="5" applyAlignment="1" pivotButton="0" quotePrefix="0" xfId="0">
      <alignment horizontal="center" vertical="center"/>
    </xf>
    <xf numFmtId="0" fontId="24" fillId="3" borderId="4" applyAlignment="1" pivotButton="0" quotePrefix="0" xfId="0">
      <alignment horizontal="left" wrapText="1" indent="1"/>
    </xf>
    <xf numFmtId="0" fontId="24" fillId="3" borderId="0" applyAlignment="1" pivotButton="0" quotePrefix="0" xfId="0">
      <alignment horizontal="left" wrapText="1" indent="1"/>
    </xf>
    <xf numFmtId="0" fontId="24" fillId="3" borderId="4" applyAlignment="1" pivotButton="0" quotePrefix="0" xfId="0">
      <alignment horizontal="left" indent="1"/>
    </xf>
    <xf numFmtId="0" fontId="24" fillId="3" borderId="0" applyAlignment="1" pivotButton="0" quotePrefix="0" xfId="0">
      <alignment horizontal="left" indent="1"/>
    </xf>
    <xf numFmtId="0" fontId="24" fillId="3" borderId="1" applyAlignment="1" pivotButton="0" quotePrefix="0" xfId="0">
      <alignment horizontal="left" vertical="center" wrapText="1" indent="1"/>
    </xf>
    <xf numFmtId="0" fontId="24" fillId="3" borderId="2" applyAlignment="1" pivotButton="0" quotePrefix="0" xfId="0">
      <alignment horizontal="left" vertical="center" wrapText="1" indent="1"/>
    </xf>
    <xf numFmtId="0" fontId="29" fillId="2" borderId="0" applyAlignment="1" pivotButton="0" quotePrefix="0" xfId="2">
      <alignment horizontal="center"/>
    </xf>
    <xf numFmtId="0" fontId="29" fillId="2" borderId="5" applyAlignment="1" pivotButton="0" quotePrefix="0" xfId="2">
      <alignment horizontal="center"/>
    </xf>
    <xf numFmtId="0" fontId="41" fillId="4" borderId="12" applyAlignment="1" pivotButton="0" quotePrefix="0" xfId="3">
      <alignment horizontal="center"/>
    </xf>
    <xf numFmtId="0" fontId="42" fillId="4" borderId="9" applyAlignment="1" pivotButton="0" quotePrefix="0" xfId="3">
      <alignment horizontal="center"/>
    </xf>
    <xf numFmtId="0" fontId="42" fillId="4" borderId="9" applyAlignment="1" pivotButton="0" quotePrefix="0" xfId="3">
      <alignment horizontal="left" wrapText="1" indent="5"/>
    </xf>
    <xf numFmtId="0" fontId="42" fillId="4" borderId="11" applyAlignment="1" pivotButton="0" quotePrefix="0" xfId="3">
      <alignment horizontal="left" wrapText="1" indent="5"/>
    </xf>
    <xf numFmtId="0" fontId="43" fillId="0" borderId="13" applyAlignment="1" pivotButton="0" quotePrefix="0" xfId="3">
      <alignment horizontal="center"/>
    </xf>
    <xf numFmtId="0" fontId="44" fillId="0" borderId="13" applyAlignment="1" pivotButton="0" quotePrefix="0" xfId="0">
      <alignment vertical="center"/>
    </xf>
    <xf numFmtId="0" fontId="43" fillId="0" borderId="13" applyAlignment="1" pivotButton="0" quotePrefix="0" xfId="3">
      <alignment horizontal="center" vertical="center"/>
    </xf>
    <xf numFmtId="3" fontId="43" fillId="0" borderId="13" applyAlignment="1" pivotButton="0" quotePrefix="0" xfId="3">
      <alignment horizontal="center" vertical="center"/>
    </xf>
    <xf numFmtId="0" fontId="45" fillId="0" borderId="0" pivotButton="0" quotePrefix="0" xfId="0"/>
    <xf numFmtId="0" fontId="0" fillId="0" borderId="2" pivotButton="0" quotePrefix="0" xfId="0"/>
    <xf numFmtId="0" fontId="0" fillId="0" borderId="9" pivotButton="0" quotePrefix="0" xfId="0"/>
    <xf numFmtId="0" fontId="0" fillId="0" borderId="11" pivotButton="0" quotePrefix="0" xfId="0"/>
    <xf numFmtId="168" fontId="14" fillId="0" borderId="13" applyAlignment="1" pivotButton="0" quotePrefix="0" xfId="1">
      <alignment horizontal="center" vertical="center"/>
    </xf>
    <xf numFmtId="166" fontId="14" fillId="0" borderId="13" applyAlignment="1" pivotButton="0" quotePrefix="0" xfId="1">
      <alignment horizontal="center" vertical="center"/>
    </xf>
    <xf numFmtId="166" fontId="14" fillId="0" borderId="13" applyAlignment="1" pivotButton="0" quotePrefix="0" xfId="4">
      <alignment horizontal="center" vertical="center"/>
    </xf>
    <xf numFmtId="166" fontId="14" fillId="2" borderId="13" applyAlignment="1" pivotButton="0" quotePrefix="0" xfId="4">
      <alignment horizontal="center" vertical="center"/>
    </xf>
    <xf numFmtId="168" fontId="14" fillId="2" borderId="13" applyAlignment="1" pivotButton="0" quotePrefix="0" xfId="1">
      <alignment horizontal="center" vertical="center"/>
    </xf>
    <xf numFmtId="166" fontId="14" fillId="2" borderId="13" applyAlignment="1" pivotButton="0" quotePrefix="0" xfId="1">
      <alignment horizontal="center" vertical="center"/>
    </xf>
    <xf numFmtId="0" fontId="8" fillId="2" borderId="28" applyAlignment="1" pivotButton="0" quotePrefix="0" xfId="3">
      <alignment horizontal="center"/>
    </xf>
    <xf numFmtId="0" fontId="14" fillId="3" borderId="26" applyAlignment="1" pivotButton="0" quotePrefix="0" xfId="3">
      <alignment horizontal="left" vertical="center" wrapText="1" indent="1"/>
    </xf>
    <xf numFmtId="0" fontId="0" fillId="0" borderId="7" pivotButton="0" quotePrefix="0" xfId="0"/>
    <xf numFmtId="0" fontId="0" fillId="0" borderId="8" pivotButton="0" quotePrefix="0" xfId="0"/>
    <xf numFmtId="0" fontId="8" fillId="2" borderId="26" applyAlignment="1" pivotButton="0" quotePrefix="0" xfId="0">
      <alignment horizontal="center"/>
    </xf>
    <xf numFmtId="0" fontId="0" fillId="0" borderId="4" pivotButton="0" quotePrefix="0" xfId="0"/>
    <xf numFmtId="0" fontId="0" fillId="0" borderId="5" pivotButton="0" quotePrefix="0" xfId="0"/>
    <xf numFmtId="0" fontId="8" fillId="2" borderId="27" applyAlignment="1" pivotButton="0" quotePrefix="0" xfId="0">
      <alignment horizontal="center"/>
    </xf>
    <xf numFmtId="0" fontId="4" fillId="0" borderId="27" applyAlignment="1" pivotButton="0" quotePrefix="0" xfId="2">
      <alignment horizontal="center" vertical="center" wrapText="1"/>
    </xf>
    <xf numFmtId="0" fontId="8" fillId="2" borderId="25" applyAlignment="1" pivotButton="0" quotePrefix="0" xfId="0">
      <alignment horizontal="center" vertical="center"/>
    </xf>
    <xf numFmtId="0" fontId="0" fillId="0" borderId="3" pivotButton="0" quotePrefix="0" xfId="0"/>
    <xf numFmtId="0" fontId="14" fillId="2" borderId="26" applyAlignment="1" pivotButton="0" quotePrefix="0" xfId="3">
      <alignment horizontal="left" vertical="center" indent="1"/>
    </xf>
    <xf numFmtId="0" fontId="24" fillId="2" borderId="27" applyAlignment="1" pivotButton="0" quotePrefix="0" xfId="0">
      <alignment horizontal="left" vertical="center" wrapText="1"/>
    </xf>
    <xf numFmtId="0" fontId="8" fillId="2" borderId="25" applyAlignment="1" pivotButton="0" quotePrefix="0" xfId="3">
      <alignment horizontal="left" vertical="center" wrapText="1" indent="1"/>
    </xf>
    <xf numFmtId="15" fontId="11" fillId="4" borderId="11" applyAlignment="1" pivotButton="0" quotePrefix="0" xfId="0">
      <alignment horizontal="center" vertical="center" wrapText="1"/>
    </xf>
    <xf numFmtId="167" fontId="24" fillId="2" borderId="20" applyAlignment="1" pivotButton="0" quotePrefix="0" xfId="0">
      <alignment horizontal="left" vertical="center" wrapText="1" indent="2"/>
    </xf>
    <xf numFmtId="167" fontId="24" fillId="2" borderId="21" applyAlignment="1" pivotButton="0" quotePrefix="0" xfId="0">
      <alignment horizontal="left" vertical="center" wrapText="1" indent="2"/>
    </xf>
    <xf numFmtId="0" fontId="8" fillId="0" borderId="27" applyAlignment="1" pivotButton="0" quotePrefix="0" xfId="3">
      <alignment horizontal="center" vertical="center" wrapText="1"/>
    </xf>
    <xf numFmtId="0" fontId="8" fillId="2" borderId="27" applyAlignment="1" pivotButton="0" quotePrefix="0" xfId="0">
      <alignment horizontal="center" vertical="center"/>
    </xf>
    <xf numFmtId="0" fontId="24" fillId="2" borderId="27" applyAlignment="1" pivotButton="0" quotePrefix="0" xfId="0">
      <alignment horizontal="left" vertical="center" wrapText="1" indent="1"/>
    </xf>
    <xf numFmtId="0" fontId="27" fillId="2" borderId="27" applyAlignment="1" pivotButton="0" quotePrefix="0" xfId="0">
      <alignment horizontal="left" vertical="center" indent="1"/>
    </xf>
    <xf numFmtId="165" fontId="5" fillId="2" borderId="0" applyAlignment="1" pivotButton="0" quotePrefix="0" xfId="0">
      <alignment horizontal="center"/>
    </xf>
    <xf numFmtId="166" fontId="5" fillId="2" borderId="0" applyAlignment="1" pivotButton="0" quotePrefix="0" xfId="0">
      <alignment horizontal="center"/>
    </xf>
  </cellXfs>
  <cellStyles count="8">
    <cellStyle name="Normal" xfId="0" builtinId="0"/>
    <cellStyle name="Millares" xfId="1" builtinId="3"/>
    <cellStyle name="Hipervínculo" xfId="2" builtinId="8"/>
    <cellStyle name="Normal 2" xfId="3"/>
    <cellStyle name="Currency 2" xfId="4"/>
    <cellStyle name="Millares 2" xfId="5"/>
    <cellStyle name="Currency 2 2" xfId="6"/>
    <cellStyle name="Moneda 2"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ldo.manzur@mx.multivac.com" TargetMode="External" Id="rId1" /><Relationship Type="http://schemas.openxmlformats.org/officeDocument/2006/relationships/hyperlink" Target="https://multivac.com/mx/es/excluded-from-navigation/terms-and-conditions" TargetMode="External" Id="rId2" /></Relationships>
</file>

<file path=xl/worksheets/_rels/sheet2.xml.rels><Relationships xmlns="http://schemas.openxmlformats.org/package/2006/relationships"><Relationship Type="http://schemas.openxmlformats.org/officeDocument/2006/relationships/hyperlink" Target="https://multivac.com/mx/es/excluded-from-navigation/terms-and-conditions" TargetMode="External" Id="rId1" /></Relationships>
</file>

<file path=xl/worksheets/sheet1.xml><?xml version="1.0" encoding="utf-8"?>
<worksheet xmlns="http://schemas.openxmlformats.org/spreadsheetml/2006/main">
  <sheetPr>
    <outlinePr summaryBelow="1" summaryRight="1"/>
    <pageSetUpPr/>
  </sheetPr>
  <dimension ref="B1:X39"/>
  <sheetViews>
    <sheetView tabSelected="1" zoomScale="60" zoomScaleNormal="60" workbookViewId="0">
      <selection activeCell="A23" sqref="A23"/>
    </sheetView>
  </sheetViews>
  <sheetFormatPr baseColWidth="10" defaultColWidth="9.19921875" defaultRowHeight="15.4"/>
  <cols>
    <col width="1.53125" customWidth="1" style="12" min="1" max="1"/>
    <col width="32" bestFit="1" customWidth="1" style="12" min="2" max="2"/>
    <col width="8.265625" customWidth="1" style="12" min="3" max="3"/>
    <col width="15.59765625" bestFit="1" customWidth="1" style="12" min="4" max="4"/>
    <col width="58.265625" customWidth="1" style="12" min="5" max="5"/>
    <col width="9.19921875" customWidth="1" style="12" min="6" max="6"/>
    <col width="11" customWidth="1" style="12" min="7" max="7"/>
    <col width="14" customWidth="1" style="12" min="8" max="8"/>
    <col width="13.46484375" customWidth="1" style="12" min="9" max="9"/>
    <col width="15" customWidth="1" style="12" min="10" max="10"/>
    <col width="14" customWidth="1" style="12" min="11" max="11"/>
    <col width="14.19921875" customWidth="1" style="12" min="12" max="13"/>
    <col width="1.796875" customWidth="1" style="12" min="14" max="14"/>
    <col width="9.19921875" customWidth="1" style="12" min="15" max="18"/>
    <col width="9.19921875" customWidth="1" style="12" min="19" max="20"/>
    <col width="13.73046875" customWidth="1" style="12" min="21" max="21"/>
    <col width="9.19921875" customWidth="1" style="12" min="22" max="22"/>
    <col width="11.53125" bestFit="1" customWidth="1" style="12" min="23" max="23"/>
    <col width="12.796875" bestFit="1" customWidth="1" style="12" min="24" max="24"/>
    <col width="9.19921875" customWidth="1" style="12" min="25" max="16384"/>
  </cols>
  <sheetData>
    <row r="1" ht="15" customFormat="1" customHeight="1" s="13">
      <c r="B1" s="115" t="n"/>
      <c r="I1" s="121" t="n"/>
    </row>
    <row r="2" ht="15" customFormat="1" customHeight="1" s="13">
      <c r="B2" s="115" t="n"/>
      <c r="C2" s="115" t="n"/>
      <c r="D2" s="115" t="n"/>
    </row>
    <row r="3" ht="15" customFormat="1" customHeight="1" s="13">
      <c r="B3" s="65" t="n"/>
      <c r="C3" s="66" t="n"/>
      <c r="D3" s="66" t="n"/>
    </row>
    <row r="4">
      <c r="B4" s="122" t="n"/>
    </row>
    <row r="5" ht="12.75" customFormat="1" customHeight="1" s="17">
      <c r="B5" s="6" t="inlineStr">
        <is>
          <t>Versión:      03</t>
        </is>
      </c>
      <c r="C5" s="7" t="n"/>
      <c r="D5" s="8" t="n"/>
      <c r="E5" s="15" t="n"/>
      <c r="F5" s="15" t="n"/>
      <c r="G5" s="15" t="n"/>
      <c r="H5" s="15" t="n"/>
      <c r="J5" s="9" t="inlineStr">
        <is>
          <t>Código:</t>
        </is>
      </c>
      <c r="K5" s="116" t="inlineStr">
        <is>
          <t>MUMX-F-ME-003</t>
        </is>
      </c>
      <c r="N5" s="16" t="n"/>
    </row>
    <row r="6" ht="12.75" customFormat="1" customHeight="1" s="17">
      <c r="B6" s="8" t="inlineStr">
        <is>
          <t>Página:        1</t>
        </is>
      </c>
      <c r="C6" s="10" t="n"/>
      <c r="D6" s="8" t="n"/>
      <c r="E6" s="15" t="n"/>
      <c r="F6" s="15" t="n"/>
      <c r="G6" s="15" t="n"/>
      <c r="H6" s="15" t="n"/>
      <c r="J6" s="9" t="inlineStr">
        <is>
          <t>Fecha:</t>
        </is>
      </c>
      <c r="K6" s="117" t="n">
        <v>44705</v>
      </c>
      <c r="N6" s="16" t="n"/>
    </row>
    <row r="7" ht="30" customFormat="1" customHeight="1" s="20" thickBot="1">
      <c r="B7" s="11" t="n"/>
      <c r="C7" s="11" t="n"/>
      <c r="D7" s="11" t="n"/>
      <c r="E7" s="18" t="n"/>
      <c r="F7" s="18" t="n"/>
      <c r="G7" s="18" t="n"/>
      <c r="H7" s="18" t="n"/>
      <c r="I7" s="18" t="n"/>
      <c r="J7" s="18" t="n"/>
      <c r="K7" s="123" t="inlineStr">
        <is>
          <t>AM-400-000</t>
        </is>
      </c>
      <c r="L7" s="195" t="n"/>
      <c r="M7" s="195" t="n"/>
      <c r="N7" s="19" t="n"/>
    </row>
    <row r="8" ht="19.5" customHeight="1" thickBot="1">
      <c r="B8" s="186" t="inlineStr">
        <is>
          <t>Charlytoc SA</t>
        </is>
      </c>
      <c r="C8" s="187" t="inlineStr">
        <is>
          <t>Attn: Charly Chacon</t>
        </is>
      </c>
      <c r="D8" s="196" t="n"/>
      <c r="E8" s="196" t="n"/>
      <c r="F8" s="196" t="n"/>
      <c r="G8" s="196" t="n"/>
      <c r="H8" s="93" t="n"/>
      <c r="I8" s="94" t="inlineStr">
        <is>
          <t>Fecha:</t>
        </is>
      </c>
      <c r="J8" s="94" t="n"/>
      <c r="K8" s="189" t="inlineStr">
        <is>
          <t>11 de Marzo de 2026</t>
        </is>
      </c>
      <c r="L8" s="196" t="n"/>
      <c r="M8" s="197" t="n"/>
    </row>
    <row r="9" ht="15.75" customHeight="1" thickBot="1">
      <c r="M9" s="27" t="n"/>
    </row>
    <row r="10" ht="62.25" customHeight="1" thickBot="1">
      <c r="B10" s="80" t="inlineStr">
        <is>
          <t>Estructura</t>
        </is>
      </c>
      <c r="C10" s="81" t="inlineStr">
        <is>
          <t xml:space="preserve">Tapa / Fondo </t>
        </is>
      </c>
      <c r="D10" s="81" t="inlineStr">
        <is>
          <t>Linea/Producto</t>
        </is>
      </c>
      <c r="E10" s="82" t="inlineStr">
        <is>
          <t xml:space="preserve">Descripción del Material </t>
        </is>
      </c>
      <c r="F10" s="81" t="inlineStr">
        <is>
          <t>Ancho       (mm)</t>
        </is>
      </c>
      <c r="G10" s="81" t="inlineStr">
        <is>
          <t>Longitud de bobina (m)</t>
        </is>
      </c>
      <c r="H10" s="81" t="inlineStr">
        <is>
          <t>Volumen anual proyectado (mts)</t>
        </is>
      </c>
      <c r="I10" s="81" t="inlineStr">
        <is>
          <t>Escala cotizada      (mts)</t>
        </is>
      </c>
      <c r="J10" s="81" t="inlineStr">
        <is>
          <t>Precio millar de impresión  (USD)</t>
        </is>
      </c>
      <c r="K10" s="81" t="inlineStr">
        <is>
          <t>Precio metro (USD)</t>
        </is>
      </c>
      <c r="L10" s="81" t="inlineStr">
        <is>
          <t>Precio bobina (USD)</t>
        </is>
      </c>
      <c r="M10" s="83" t="inlineStr">
        <is>
          <t>Precio Km (USD)</t>
        </is>
      </c>
      <c r="O10" s="21" t="n"/>
      <c r="Q10" s="108" t="n"/>
      <c r="R10" s="110" t="inlineStr">
        <is>
          <t>Precio material por 100 m2 (USD)</t>
        </is>
      </c>
      <c r="S10" s="110" t="inlineStr">
        <is>
          <t>ml en 100 m2</t>
        </is>
      </c>
      <c r="T10" s="110" t="inlineStr">
        <is>
          <t>Precio material por ml (USD)</t>
        </is>
      </c>
      <c r="U10" s="110" t="inlineStr">
        <is>
          <t>Utilidad extra % (Usd)</t>
        </is>
      </c>
      <c r="V10" s="110" t="inlineStr">
        <is>
          <t>Precio Km (Usd)</t>
        </is>
      </c>
      <c r="W10" s="110" t="inlineStr">
        <is>
          <t>Precio por bobina (Usd)</t>
        </is>
      </c>
      <c r="X10" s="22" t="n"/>
    </row>
    <row r="11" ht="16.5" customHeight="1">
      <c r="B11" s="190" t="inlineStr">
        <is>
          <t xml:space="preserve">AMILEN ML 70 </t>
        </is>
      </c>
      <c r="C11" s="192" t="inlineStr">
        <is>
          <t>TAPA</t>
        </is>
      </c>
      <c r="D11" s="190" t="inlineStr">
        <is>
          <t>Carne Procesada</t>
        </is>
      </c>
      <c r="E11" s="100" t="inlineStr">
        <is>
          <t>Material coextruido y laminado no termoformable,</t>
        </is>
      </c>
      <c r="F11" s="192" t="n">
        <v>420</v>
      </c>
      <c r="G11" s="192" t="n">
        <v>914</v>
      </c>
      <c r="H11" s="102" t="inlineStr">
        <is>
          <t>TBD</t>
        </is>
      </c>
      <c r="I11" s="193" t="n">
        <v>20000</v>
      </c>
      <c r="J11" s="111" t="inlineStr">
        <is>
          <t>NA</t>
        </is>
      </c>
      <c r="K11" s="198">
        <f>(M11/1000)</f>
        <v/>
      </c>
      <c r="L11" s="199">
        <f>(K11*G11)</f>
        <v/>
      </c>
      <c r="M11" s="200">
        <f>V11</f>
        <v/>
      </c>
      <c r="O11" s="21" t="n"/>
      <c r="Q11" s="108" t="n"/>
      <c r="R11" s="194" t="n">
        <v>42.43</v>
      </c>
      <c r="S11" s="109">
        <f>100/(F11/1000)</f>
        <v/>
      </c>
      <c r="T11" s="109">
        <f>(R11/S11)</f>
        <v/>
      </c>
      <c r="U11" s="108">
        <f>(T11*1.15)</f>
        <v/>
      </c>
      <c r="V11" s="108">
        <f>(U11*1000)</f>
        <v/>
      </c>
      <c r="W11" s="108">
        <f>(U11*G11)</f>
        <v/>
      </c>
      <c r="X11" s="23" t="n"/>
    </row>
    <row r="12" ht="16.5" customHeight="1">
      <c r="B12" s="103" t="inlineStr">
        <is>
          <t>Transparente</t>
        </is>
      </c>
      <c r="C12" s="101" t="n"/>
      <c r="D12" s="100" t="n"/>
      <c r="E12" s="100" t="inlineStr">
        <is>
          <t>diseñado para altas velocidades, alta barrera, para empaque</t>
        </is>
      </c>
      <c r="F12" s="101" t="n"/>
      <c r="G12" s="101" t="n"/>
      <c r="H12" s="101" t="n"/>
      <c r="I12" s="101" t="n"/>
      <c r="J12" s="111" t="n"/>
      <c r="K12" s="198" t="n"/>
      <c r="L12" s="199" t="n"/>
      <c r="M12" s="201" t="n"/>
      <c r="Q12" s="108" t="n"/>
      <c r="R12" s="108" t="n"/>
      <c r="S12" s="109" t="n"/>
      <c r="T12" s="109" t="n"/>
      <c r="U12" s="108" t="n"/>
      <c r="V12" s="108" t="n"/>
      <c r="W12" s="108" t="n"/>
    </row>
    <row r="13" ht="16.5" customHeight="1">
      <c r="B13" s="191" t="inlineStr">
        <is>
          <t>PA/PE</t>
        </is>
      </c>
      <c r="C13" s="101" t="n"/>
      <c r="D13" s="190" t="inlineStr">
        <is>
          <t>Alta barrera</t>
        </is>
      </c>
      <c r="E13" s="100" t="inlineStr">
        <is>
          <t>al alto vacío o MAP, sello hermético 2.8 mil de espesor</t>
        </is>
      </c>
      <c r="F13" s="101" t="n"/>
      <c r="G13" s="101" t="n"/>
      <c r="H13" s="101" t="n"/>
      <c r="I13" s="101" t="n"/>
      <c r="J13" s="111" t="n"/>
      <c r="K13" s="202" t="n"/>
      <c r="L13" s="203" t="n"/>
      <c r="M13" s="201" t="n"/>
      <c r="Q13" s="108" t="n"/>
      <c r="R13" s="108" t="n"/>
      <c r="S13" s="109" t="n"/>
      <c r="T13" s="109" t="n"/>
      <c r="U13" s="108" t="n"/>
      <c r="V13" s="108" t="n"/>
      <c r="W13" s="108" t="n"/>
    </row>
    <row r="14" ht="16.5" customHeight="1">
      <c r="B14" s="100" t="n"/>
      <c r="C14" s="101" t="n"/>
      <c r="D14" s="100" t="n"/>
      <c r="E14" s="100" t="n"/>
      <c r="F14" s="101" t="n"/>
      <c r="G14" s="101" t="n"/>
      <c r="H14" s="101" t="n"/>
      <c r="I14" s="101" t="n"/>
      <c r="J14" s="111" t="n"/>
      <c r="K14" s="202" t="n"/>
      <c r="L14" s="203" t="n"/>
      <c r="M14" s="201" t="n"/>
      <c r="Q14" s="108" t="n"/>
      <c r="R14" s="108" t="n"/>
      <c r="S14" s="109" t="n"/>
      <c r="T14" s="109" t="n"/>
      <c r="U14" s="108" t="n"/>
      <c r="V14" s="108" t="n"/>
      <c r="W14" s="108" t="n"/>
    </row>
    <row r="15" ht="16.5" customHeight="1">
      <c r="B15" s="100" t="inlineStr">
        <is>
          <t xml:space="preserve">AMILEN MLX 70 </t>
        </is>
      </c>
      <c r="C15" s="101" t="inlineStr">
        <is>
          <t>TAPA</t>
        </is>
      </c>
      <c r="D15" s="100" t="inlineStr">
        <is>
          <t>Carne Procesada</t>
        </is>
      </c>
      <c r="E15" s="100" t="inlineStr">
        <is>
          <t>Material coextruido y laminado, termoformable,</t>
        </is>
      </c>
      <c r="F15" s="101" t="n">
        <v>420</v>
      </c>
      <c r="G15" s="101" t="n">
        <v>914</v>
      </c>
      <c r="H15" s="102" t="inlineStr">
        <is>
          <t>TBD</t>
        </is>
      </c>
      <c r="I15" s="102" t="n">
        <v>20000</v>
      </c>
      <c r="J15" s="111" t="inlineStr">
        <is>
          <t>NA</t>
        </is>
      </c>
      <c r="K15" s="198">
        <f>(M15/1000)</f>
        <v/>
      </c>
      <c r="L15" s="199">
        <f>(K15*G15)</f>
        <v/>
      </c>
      <c r="M15" s="200">
        <f>V15</f>
        <v/>
      </c>
      <c r="Q15" s="108" t="n"/>
      <c r="R15" s="108" t="n">
        <v>53.77</v>
      </c>
      <c r="S15" s="109">
        <f>100/(F15/1000)</f>
        <v/>
      </c>
      <c r="T15" s="109">
        <f>(R15/S15)</f>
        <v/>
      </c>
      <c r="U15" s="108">
        <f>(T15*1)</f>
        <v/>
      </c>
      <c r="V15" s="108">
        <f>(U15*1000)</f>
        <v/>
      </c>
      <c r="W15" s="108">
        <f>(U15*G15)</f>
        <v/>
      </c>
    </row>
    <row r="16" ht="16.5" customHeight="1">
      <c r="B16" s="103" t="inlineStr">
        <is>
          <t>Transparente</t>
        </is>
      </c>
      <c r="C16" s="101" t="n"/>
      <c r="D16" s="100" t="n"/>
      <c r="E16" s="100" t="inlineStr">
        <is>
          <t>diseñado para altas velocidades, alta barrera, para empaque</t>
        </is>
      </c>
      <c r="F16" s="101" t="n"/>
      <c r="G16" s="101" t="n"/>
      <c r="H16" s="101" t="n"/>
      <c r="I16" s="102" t="n"/>
      <c r="J16" s="203" t="n"/>
      <c r="K16" s="198" t="n"/>
      <c r="L16" s="199" t="n"/>
      <c r="M16" s="201" t="n"/>
      <c r="Q16" s="108" t="n"/>
      <c r="R16" s="108" t="n"/>
      <c r="S16" s="109" t="n"/>
      <c r="T16" s="109" t="n"/>
      <c r="U16" s="108" t="n"/>
      <c r="V16" s="108" t="n"/>
      <c r="W16" s="108" t="n"/>
    </row>
    <row r="17" ht="16.5" customHeight="1">
      <c r="B17" s="114" t="inlineStr">
        <is>
          <t>Flexible PA/EVOH/PE</t>
        </is>
      </c>
      <c r="C17" s="101" t="n"/>
      <c r="D17" s="100" t="inlineStr">
        <is>
          <t>Mediana barrera</t>
        </is>
      </c>
      <c r="E17" s="100" t="inlineStr">
        <is>
          <t>al alto vacío o MAP, sello hermético 2.8 mil de espesor</t>
        </is>
      </c>
      <c r="F17" s="101" t="n"/>
      <c r="G17" s="101" t="n"/>
      <c r="H17" s="101" t="n"/>
      <c r="I17" s="101" t="n"/>
      <c r="J17" s="111" t="n"/>
      <c r="K17" s="202" t="n"/>
      <c r="L17" s="203" t="n"/>
      <c r="M17" s="201" t="n"/>
      <c r="Q17" s="108" t="n"/>
      <c r="R17" s="108" t="n"/>
      <c r="S17" s="109" t="n"/>
      <c r="T17" s="109" t="n"/>
      <c r="U17" s="108" t="n"/>
      <c r="V17" s="108" t="n"/>
      <c r="W17" s="108" t="n"/>
    </row>
    <row r="18" ht="16.5" customHeight="1">
      <c r="B18" s="114" t="n"/>
      <c r="C18" s="101" t="n"/>
      <c r="D18" s="100" t="n"/>
      <c r="E18" s="100" t="n"/>
      <c r="F18" s="101" t="n"/>
      <c r="G18" s="101" t="n"/>
      <c r="H18" s="101" t="n"/>
      <c r="I18" s="101" t="n"/>
      <c r="J18" s="111" t="n"/>
      <c r="K18" s="202" t="n"/>
      <c r="L18" s="203" t="n"/>
      <c r="M18" s="201" t="n"/>
      <c r="Q18" s="108" t="n"/>
      <c r="R18" s="108" t="n"/>
      <c r="S18" s="109" t="n"/>
      <c r="T18" s="109" t="n"/>
      <c r="U18" s="108" t="n"/>
      <c r="V18" s="108" t="n"/>
      <c r="W18" s="108" t="n"/>
    </row>
    <row r="19" ht="16.5" customHeight="1">
      <c r="B19" s="100" t="inlineStr">
        <is>
          <t xml:space="preserve">AMILEN ML 150 </t>
        </is>
      </c>
      <c r="C19" s="101" t="inlineStr">
        <is>
          <t>FONDO</t>
        </is>
      </c>
      <c r="D19" s="100" t="inlineStr">
        <is>
          <t>Carne Procesada</t>
        </is>
      </c>
      <c r="E19" s="100" t="inlineStr">
        <is>
          <t>Material coextruido y laminado, termoformable,</t>
        </is>
      </c>
      <c r="F19" s="101" t="n">
        <v>423</v>
      </c>
      <c r="G19" s="101" t="n">
        <v>457</v>
      </c>
      <c r="H19" s="102" t="inlineStr">
        <is>
          <t>TBD</t>
        </is>
      </c>
      <c r="I19" s="102" t="n">
        <v>20000</v>
      </c>
      <c r="J19" s="111" t="inlineStr">
        <is>
          <t>NA</t>
        </is>
      </c>
      <c r="K19" s="198">
        <f>(M19/1000)</f>
        <v/>
      </c>
      <c r="L19" s="199">
        <f>(K19*G19)</f>
        <v/>
      </c>
      <c r="M19" s="200">
        <f>V19</f>
        <v/>
      </c>
      <c r="Q19" s="108" t="n"/>
      <c r="R19" s="108" t="n">
        <v>92.95999999999999</v>
      </c>
      <c r="S19" s="109">
        <f>100/(F19/1000)</f>
        <v/>
      </c>
      <c r="T19" s="109">
        <f>(R19/S19)</f>
        <v/>
      </c>
      <c r="U19" s="108">
        <f>(T19*1)</f>
        <v/>
      </c>
      <c r="V19" s="108">
        <f>(U19*1000)</f>
        <v/>
      </c>
      <c r="W19" s="108">
        <f>(U19*G19)</f>
        <v/>
      </c>
    </row>
    <row r="20" ht="16.5" customHeight="1">
      <c r="B20" s="103" t="inlineStr">
        <is>
          <t>Transparente</t>
        </is>
      </c>
      <c r="C20" s="101" t="n"/>
      <c r="D20" s="100" t="n"/>
      <c r="E20" s="100" t="inlineStr">
        <is>
          <t>diseñado para altas velocidades, mediana barrera, para empaque</t>
        </is>
      </c>
      <c r="F20" s="101" t="n"/>
      <c r="G20" s="101" t="n"/>
      <c r="H20" s="101" t="n"/>
      <c r="I20" s="102" t="n"/>
      <c r="J20" s="203" t="n"/>
      <c r="K20" s="198" t="n"/>
      <c r="L20" s="199" t="n"/>
      <c r="M20" s="201" t="n"/>
      <c r="Q20" s="108" t="n"/>
      <c r="R20" s="108" t="n"/>
      <c r="S20" s="109" t="n"/>
      <c r="T20" s="109" t="n"/>
      <c r="U20" s="108" t="n"/>
      <c r="V20" s="108" t="n"/>
      <c r="W20" s="108" t="n"/>
    </row>
    <row r="21" ht="16.5" customHeight="1">
      <c r="B21" s="114" t="inlineStr">
        <is>
          <t>PA/PE</t>
        </is>
      </c>
      <c r="C21" s="101" t="n"/>
      <c r="D21" s="100" t="inlineStr">
        <is>
          <t>Alta barrera</t>
        </is>
      </c>
      <c r="E21" s="100" t="inlineStr">
        <is>
          <t>al alto vacío o MAP, sello hermético 5.9 mil de espesor</t>
        </is>
      </c>
      <c r="F21" s="101" t="n"/>
      <c r="G21" s="101" t="n"/>
      <c r="H21" s="101" t="n"/>
      <c r="I21" s="101" t="n"/>
      <c r="J21" s="111" t="n"/>
      <c r="K21" s="202" t="n"/>
      <c r="L21" s="203" t="n"/>
      <c r="M21" s="201" t="n"/>
      <c r="Q21" s="108" t="n"/>
      <c r="R21" s="108" t="n"/>
      <c r="S21" s="109" t="n"/>
      <c r="T21" s="109" t="n"/>
      <c r="U21" s="108" t="n"/>
      <c r="V21" s="108" t="n"/>
      <c r="W21" s="108" t="n"/>
    </row>
    <row r="22" ht="16.5" customHeight="1">
      <c r="B22" s="114" t="n"/>
      <c r="C22" s="101" t="n"/>
      <c r="D22" s="100" t="n"/>
      <c r="E22" s="100" t="n"/>
      <c r="F22" s="101" t="n"/>
      <c r="G22" s="101" t="n"/>
      <c r="H22" s="101" t="n"/>
      <c r="I22" s="101" t="n"/>
      <c r="J22" s="111" t="n"/>
      <c r="K22" s="202" t="n"/>
      <c r="L22" s="203" t="n"/>
      <c r="M22" s="201" t="n"/>
      <c r="Q22" s="108" t="n"/>
      <c r="R22" s="108" t="n"/>
      <c r="S22" s="109" t="n"/>
      <c r="T22" s="109" t="n"/>
      <c r="U22" s="108" t="n"/>
      <c r="V22" s="108" t="n"/>
      <c r="W22" s="108" t="n"/>
    </row>
    <row r="23" ht="16.5" customHeight="1">
      <c r="B23" s="100" t="inlineStr">
        <is>
          <t xml:space="preserve">AMILEN MLX 150 </t>
        </is>
      </c>
      <c r="C23" s="101" t="inlineStr">
        <is>
          <t>FONDO</t>
        </is>
      </c>
      <c r="D23" s="100" t="inlineStr">
        <is>
          <t>Carne Procesada</t>
        </is>
      </c>
      <c r="E23" s="100" t="inlineStr">
        <is>
          <t>Material coextruido y laminado, termoformable,</t>
        </is>
      </c>
      <c r="F23" s="101" t="n">
        <v>423</v>
      </c>
      <c r="G23" s="101" t="n">
        <v>366</v>
      </c>
      <c r="H23" s="102" t="inlineStr">
        <is>
          <t>TBD</t>
        </is>
      </c>
      <c r="I23" s="102" t="n">
        <v>20000</v>
      </c>
      <c r="J23" s="111" t="inlineStr">
        <is>
          <t>NA</t>
        </is>
      </c>
      <c r="K23" s="198">
        <f>(M23/1000)</f>
        <v/>
      </c>
      <c r="L23" s="199">
        <f>(K23*G23)</f>
        <v/>
      </c>
      <c r="M23" s="200">
        <f>V23</f>
        <v/>
      </c>
      <c r="Q23" s="108" t="n"/>
      <c r="R23" s="108" t="n">
        <v>107.91</v>
      </c>
      <c r="S23" s="109">
        <f>100/(F23/1000)</f>
        <v/>
      </c>
      <c r="T23" s="109">
        <f>(R23/S23)</f>
        <v/>
      </c>
      <c r="U23" s="108">
        <f>(T23*1)</f>
        <v/>
      </c>
      <c r="V23" s="108">
        <f>(U23*1000)</f>
        <v/>
      </c>
      <c r="W23" s="108">
        <f>(U23*G23)</f>
        <v/>
      </c>
    </row>
    <row r="24" ht="16.9" customHeight="1">
      <c r="B24" s="103" t="inlineStr">
        <is>
          <t>Transparente</t>
        </is>
      </c>
      <c r="C24" s="101" t="n"/>
      <c r="D24" s="100" t="n"/>
      <c r="E24" s="100" t="inlineStr">
        <is>
          <t>diseñado para altas velocidades, alta barrera, para empaque</t>
        </is>
      </c>
      <c r="F24" s="101" t="n"/>
      <c r="G24" s="101" t="n"/>
      <c r="H24" s="101" t="n"/>
      <c r="I24" s="102" t="n"/>
      <c r="J24" s="203" t="n"/>
      <c r="K24" s="198" t="n"/>
      <c r="L24" s="199" t="n"/>
      <c r="M24" s="201" t="n"/>
      <c r="Q24" s="108" t="n"/>
      <c r="R24" s="108" t="n"/>
      <c r="S24" s="109" t="n"/>
      <c r="T24" s="109" t="n"/>
      <c r="U24" s="108" t="n"/>
      <c r="V24" s="108" t="n"/>
      <c r="W24" s="108" t="n"/>
    </row>
    <row r="25" ht="16.5" customHeight="1">
      <c r="B25" s="114" t="inlineStr">
        <is>
          <t>Flexible PA/EVOH/PE</t>
        </is>
      </c>
      <c r="C25" s="101" t="n"/>
      <c r="D25" s="100" t="inlineStr">
        <is>
          <t>Alta barrera</t>
        </is>
      </c>
      <c r="E25" s="100" t="inlineStr">
        <is>
          <t>al alto vacío o MAP, sello hermético 5.9 mil de espesor</t>
        </is>
      </c>
      <c r="F25" s="101" t="n"/>
      <c r="G25" s="101" t="n"/>
      <c r="H25" s="101" t="n"/>
      <c r="I25" s="101" t="n"/>
      <c r="J25" s="111" t="n"/>
      <c r="K25" s="202" t="n"/>
      <c r="L25" s="203" t="n"/>
      <c r="M25" s="201" t="n"/>
      <c r="Q25" s="108" t="n"/>
      <c r="R25" s="108" t="n"/>
      <c r="S25" s="109" t="n"/>
      <c r="T25" s="109" t="n"/>
      <c r="U25" s="108" t="n"/>
      <c r="V25" s="108" t="n"/>
      <c r="W25" s="108" t="n"/>
    </row>
    <row r="26" ht="16.5" customHeight="1">
      <c r="B26" s="114" t="n"/>
      <c r="C26" s="101" t="n"/>
      <c r="D26" s="100" t="n"/>
      <c r="E26" s="100" t="n"/>
      <c r="F26" s="101" t="n"/>
      <c r="G26" s="101" t="n"/>
      <c r="H26" s="101" t="n"/>
      <c r="I26" s="101" t="n"/>
      <c r="J26" s="111" t="n"/>
      <c r="K26" s="202" t="n"/>
      <c r="L26" s="203" t="n"/>
      <c r="M26" s="201" t="n"/>
      <c r="Q26" s="108" t="n"/>
      <c r="R26" s="108" t="n"/>
      <c r="S26" s="109" t="n"/>
      <c r="T26" s="109" t="n"/>
      <c r="U26" s="108" t="n"/>
      <c r="V26" s="108" t="n"/>
      <c r="W26" s="108" t="n"/>
    </row>
    <row r="27" ht="16.5" customHeight="1">
      <c r="B27" s="100" t="n"/>
      <c r="C27" s="101" t="n"/>
      <c r="D27" s="100" t="n"/>
      <c r="E27" s="100" t="n"/>
      <c r="F27" s="101" t="n"/>
      <c r="G27" s="101" t="n"/>
      <c r="H27" s="101" t="n"/>
      <c r="I27" s="102" t="n"/>
      <c r="J27" s="111" t="n"/>
      <c r="K27" s="198" t="n"/>
      <c r="L27" s="199" t="n"/>
      <c r="M27" s="200" t="n"/>
      <c r="Q27" s="108" t="n"/>
      <c r="R27" s="108" t="n"/>
      <c r="S27" s="109" t="n"/>
      <c r="T27" s="109" t="n"/>
      <c r="U27" s="108" t="n"/>
      <c r="V27" s="108" t="n"/>
      <c r="W27" s="108" t="n"/>
    </row>
    <row r="28" ht="16.5" customHeight="1">
      <c r="B28" s="103" t="n"/>
      <c r="C28" s="101" t="n"/>
      <c r="D28" s="100" t="n"/>
      <c r="E28" s="100" t="n"/>
      <c r="F28" s="101" t="n"/>
      <c r="G28" s="101" t="n"/>
      <c r="H28" s="101" t="n"/>
      <c r="I28" s="102" t="n"/>
      <c r="J28" s="111" t="n"/>
      <c r="K28" s="198" t="n"/>
      <c r="L28" s="199" t="n"/>
      <c r="M28" s="200" t="n"/>
      <c r="Q28" s="108" t="n"/>
      <c r="R28" s="108" t="n"/>
      <c r="S28" s="109" t="n"/>
      <c r="T28" s="109" t="n"/>
      <c r="U28" s="108" t="n"/>
      <c r="V28" s="108" t="n"/>
      <c r="W28" s="108" t="n"/>
    </row>
    <row r="29" ht="16.5" customHeight="1">
      <c r="B29" s="114" t="n"/>
      <c r="C29" s="101" t="n"/>
      <c r="D29" s="100" t="n"/>
      <c r="E29" s="100" t="n"/>
      <c r="F29" s="101" t="n"/>
      <c r="G29" s="101" t="n"/>
      <c r="H29" s="101" t="n"/>
      <c r="I29" s="102" t="n"/>
      <c r="J29" s="111" t="n"/>
      <c r="K29" s="198" t="n"/>
      <c r="L29" s="199" t="n"/>
      <c r="M29" s="200" t="n"/>
      <c r="Q29" s="108" t="n"/>
      <c r="R29" s="108" t="n"/>
      <c r="S29" s="109" t="n"/>
      <c r="T29" s="109" t="n"/>
      <c r="U29" s="108" t="n"/>
      <c r="V29" s="108" t="n"/>
      <c r="W29" s="108" t="n"/>
    </row>
    <row r="30" ht="16.5" customHeight="1">
      <c r="B30" s="114" t="n"/>
      <c r="C30" s="101" t="n"/>
      <c r="D30" s="100" t="n"/>
      <c r="E30" s="100" t="n"/>
      <c r="F30" s="101" t="n"/>
      <c r="G30" s="101" t="n"/>
      <c r="H30" s="101" t="n"/>
      <c r="I30" s="101" t="n"/>
      <c r="J30" s="111" t="n"/>
      <c r="K30" s="202" t="n"/>
      <c r="L30" s="203" t="n"/>
      <c r="M30" s="201" t="n"/>
      <c r="Q30" s="108" t="n"/>
      <c r="R30" s="108" t="n"/>
      <c r="S30" s="109" t="n"/>
      <c r="T30" s="109" t="n"/>
      <c r="U30" s="108" t="n"/>
      <c r="V30" s="108" t="n"/>
      <c r="W30" s="108" t="n"/>
    </row>
    <row r="31" ht="16.9" customHeight="1" thickBot="1">
      <c r="B31" s="204" t="n"/>
      <c r="C31" s="195" t="n"/>
      <c r="D31" s="195" t="n"/>
      <c r="E31" s="195" t="n"/>
      <c r="F31" s="195" t="n"/>
      <c r="G31" s="195" t="n"/>
      <c r="H31" s="195" t="n"/>
      <c r="I31" s="195" t="n"/>
      <c r="J31" s="195" t="n"/>
      <c r="K31" s="195" t="n"/>
      <c r="L31" s="62" t="n"/>
      <c r="M31" s="63" t="n"/>
    </row>
    <row r="32" ht="16.5" customHeight="1">
      <c r="B32" s="205" t="inlineStr">
        <is>
          <t xml:space="preserve">Los precios anteriores son en (USD´s), al tipo de cambio del día de la facturación, no incluye el IVA y son (DDP), crédito (Por definir). El tiempo de entrega es de (12 semanas).                              </t>
        </is>
      </c>
      <c r="C32" s="206" t="n"/>
      <c r="D32" s="206" t="n"/>
      <c r="E32" s="206" t="n"/>
      <c r="F32" s="206" t="n"/>
      <c r="G32" s="206" t="n"/>
      <c r="H32" s="206" t="n"/>
      <c r="I32" s="207" t="n"/>
      <c r="J32" s="208" t="inlineStr">
        <is>
          <t>MULTIVAC México S.A. de C.V.</t>
        </is>
      </c>
      <c r="K32" s="206" t="n"/>
      <c r="L32" s="206" t="n"/>
      <c r="M32" s="207" t="n"/>
      <c r="N32" s="3" t="n"/>
    </row>
    <row r="33" ht="16.5" customHeight="1">
      <c r="B33" s="209" t="n"/>
      <c r="I33" s="210" t="n"/>
      <c r="J33" s="211" t="inlineStr">
        <is>
          <t>Aldo Manzur Coronel</t>
        </is>
      </c>
      <c r="M33" s="210" t="n"/>
      <c r="N33" s="3" t="n"/>
    </row>
    <row r="34" ht="21" customHeight="1">
      <c r="B34" s="209" t="n"/>
      <c r="I34" s="210" t="n"/>
      <c r="J34" s="212" t="inlineStr">
        <is>
          <t>aldo.manzur@mx.multivac.com</t>
        </is>
      </c>
      <c r="M34" s="210" t="n"/>
      <c r="N34" s="4" t="n"/>
    </row>
    <row r="35" ht="16.9" customHeight="1" thickBot="1">
      <c r="B35" s="209" t="n"/>
      <c r="I35" s="210" t="n"/>
      <c r="J35" s="213" t="inlineStr">
        <is>
          <t>Celular 55 3232 7977</t>
        </is>
      </c>
      <c r="K35" s="195" t="n"/>
      <c r="L35" s="195" t="n"/>
      <c r="M35" s="214" t="n"/>
      <c r="N35" s="4" t="n"/>
    </row>
    <row r="36" ht="28.5" customHeight="1">
      <c r="B36" s="215" t="inlineStr">
        <is>
          <t>Consulte los términos y condiciones en la siguiente liga:</t>
        </is>
      </c>
      <c r="C36" s="206" t="n"/>
      <c r="D36" s="206" t="n"/>
      <c r="E36" s="206" t="n"/>
      <c r="F36" s="206" t="n"/>
      <c r="G36" s="206" t="n"/>
      <c r="H36" s="206" t="n"/>
      <c r="I36" s="207" t="n"/>
      <c r="J36" s="128" t="n"/>
      <c r="K36" s="48" t="n"/>
      <c r="L36" s="48" t="n"/>
      <c r="M36" s="49" t="n"/>
      <c r="N36" s="4" t="n"/>
    </row>
    <row r="37" ht="17.25" customHeight="1">
      <c r="B37" s="98" t="inlineStr">
        <is>
          <t>Terms and Conditions | MULTIVAC</t>
        </is>
      </c>
      <c r="C37" s="61" t="n"/>
      <c r="D37" s="61" t="n"/>
      <c r="E37" s="61" t="n"/>
      <c r="F37" s="61" t="n"/>
      <c r="G37" s="61" t="n"/>
      <c r="H37" s="61" t="n"/>
      <c r="I37" s="86" t="n"/>
      <c r="J37" s="61" t="n"/>
      <c r="K37" s="24" t="n"/>
      <c r="L37" s="24" t="n"/>
      <c r="M37" s="28" t="n"/>
      <c r="N37" s="4" t="n"/>
    </row>
    <row r="38" ht="46.05" customHeight="1">
      <c r="B38" s="216" t="inlineStr">
        <is>
          <t xml:space="preserve">Derivado de la situación actual de las materias primas y a las considerables fluctuaciones de las mismas, nos reservamos el derecho de ajustar los precios.                            Debido a los anuncios de "fuerza mayor" por parte de nuestros proveedores, nuestras entregas y fechas de entrega no son vinculantes con efecto inmediato. </t>
        </is>
      </c>
      <c r="I38" s="210" t="n"/>
      <c r="J38" s="67" t="n"/>
      <c r="K38" s="67" t="n"/>
      <c r="L38" s="67" t="n"/>
      <c r="M38" s="28" t="n"/>
      <c r="N38" s="4" t="n"/>
    </row>
    <row r="39" ht="39.75" customHeight="1" thickBot="1">
      <c r="B39" s="217" t="inlineStr">
        <is>
          <t>La presente cancela cualquier cotización anterior y los precios son vigentes durante un periodo de 15 días.</t>
        </is>
      </c>
      <c r="C39" s="195" t="n"/>
      <c r="D39" s="195" t="n"/>
      <c r="E39" s="195" t="n"/>
      <c r="F39" s="195" t="n"/>
      <c r="G39" s="195" t="n"/>
      <c r="H39" s="195" t="n"/>
      <c r="I39" s="214" t="n"/>
      <c r="J39" s="125" t="n"/>
      <c r="K39" s="25" t="n"/>
      <c r="L39" s="25" t="n"/>
      <c r="M39" s="26" t="n"/>
      <c r="N39" s="5" t="n"/>
    </row>
  </sheetData>
  <mergeCells count="17">
    <mergeCell ref="C8:G8"/>
    <mergeCell ref="K8:M8"/>
    <mergeCell ref="B31:K31"/>
    <mergeCell ref="B39:I39"/>
    <mergeCell ref="K6:M6"/>
    <mergeCell ref="B38:I38"/>
    <mergeCell ref="B1:D1"/>
    <mergeCell ref="J35:M35"/>
    <mergeCell ref="K5:M5"/>
    <mergeCell ref="J34:M34"/>
    <mergeCell ref="I1:M3"/>
    <mergeCell ref="B36:I36"/>
    <mergeCell ref="B32:I35"/>
    <mergeCell ref="J32:M32"/>
    <mergeCell ref="B4:M4"/>
    <mergeCell ref="K7:M7"/>
    <mergeCell ref="J33:M33"/>
  </mergeCells>
  <hyperlinks>
    <hyperlink xmlns:r="http://schemas.openxmlformats.org/officeDocument/2006/relationships" ref="J34" r:id="rId1"/>
    <hyperlink xmlns:r="http://schemas.openxmlformats.org/officeDocument/2006/relationships" ref="B37" display="https://multivac.com/mx/es/excluded-from-navigation/terms-and-conditions" r:id="rId2"/>
  </hyperlinks>
  <pageMargins left="0.7" right="0.7" top="0.75" bottom="0.75" header="0.3" footer="0.3"/>
  <pageSetup orientation="landscape" scale="55"/>
</worksheet>
</file>

<file path=xl/worksheets/sheet2.xml><?xml version="1.0" encoding="utf-8"?>
<worksheet xmlns="http://schemas.openxmlformats.org/spreadsheetml/2006/main">
  <sheetPr>
    <outlinePr summaryBelow="1" summaryRight="1"/>
    <pageSetUpPr fitToPage="1"/>
  </sheetPr>
  <dimension ref="B1:O30"/>
  <sheetViews>
    <sheetView zoomScale="70" zoomScaleNormal="70" workbookViewId="0">
      <selection activeCell="C27" sqref="C27"/>
    </sheetView>
  </sheetViews>
  <sheetFormatPr baseColWidth="10" defaultColWidth="9.19921875" defaultRowHeight="16.5"/>
  <cols>
    <col width="1.53125" customWidth="1" style="20" min="1" max="1"/>
    <col width="25" customWidth="1" style="43" min="2" max="2"/>
    <col width="12.46484375" customWidth="1" style="20" min="3" max="3"/>
    <col width="9.53125" customWidth="1" style="20" min="4" max="4"/>
    <col width="12.46484375" customWidth="1" style="20" min="5" max="5"/>
    <col width="8.46484375" customWidth="1" style="20" min="6" max="6"/>
    <col width="12.46484375" customWidth="1" style="20" min="7" max="8"/>
    <col width="14.73046875" customWidth="1" style="20" min="9" max="9"/>
    <col width="15.73046875" customWidth="1" style="20" min="10" max="10"/>
    <col width="20.19921875" customWidth="1" style="20" min="11" max="11"/>
    <col width="16.19921875" customWidth="1" style="20" min="12" max="12"/>
    <col width="13" customWidth="1" style="20" min="13" max="13"/>
    <col width="14.796875" customWidth="1" style="20" min="14" max="14"/>
    <col width="9.19921875" customWidth="1" style="20" min="15" max="208"/>
    <col width="15.265625" customWidth="1" style="20" min="209" max="209"/>
    <col width="8.265625" customWidth="1" style="20" min="210" max="210"/>
    <col width="52.46484375" customWidth="1" style="20" min="211" max="211"/>
    <col width="9.19921875" customWidth="1" style="20" min="212" max="212"/>
    <col width="11.796875" customWidth="1" style="20" min="213" max="213"/>
    <col width="9.73046875" customWidth="1" style="20" min="214" max="214"/>
    <col width="10.53125" customWidth="1" style="20" min="215" max="217"/>
    <col width="10.73046875" customWidth="1" style="20" min="218" max="218"/>
    <col width="3.46484375" customWidth="1" style="20" min="219" max="219"/>
    <col width="11.19921875" customWidth="1" style="20" min="220" max="220"/>
    <col width="9.19921875" customWidth="1" style="20" min="221" max="225"/>
    <col width="11.19921875" customWidth="1" style="20" min="226" max="226"/>
    <col width="11.53125" customWidth="1" style="20" min="227" max="227"/>
    <col width="11.265625" customWidth="1" style="20" min="228" max="228"/>
    <col width="9.19921875" customWidth="1" style="20" min="229" max="229"/>
    <col width="2.265625" customWidth="1" style="20" min="230" max="230"/>
    <col width="9.19921875" customWidth="1" style="20" min="231" max="464"/>
    <col width="15.265625" customWidth="1" style="20" min="465" max="465"/>
    <col width="8.265625" customWidth="1" style="20" min="466" max="466"/>
    <col width="52.46484375" customWidth="1" style="20" min="467" max="467"/>
    <col width="9.19921875" customWidth="1" style="20" min="468" max="468"/>
    <col width="11.796875" customWidth="1" style="20" min="469" max="469"/>
    <col width="9.73046875" customWidth="1" style="20" min="470" max="470"/>
    <col width="10.53125" customWidth="1" style="20" min="471" max="473"/>
    <col width="10.73046875" customWidth="1" style="20" min="474" max="474"/>
    <col width="3.46484375" customWidth="1" style="20" min="475" max="475"/>
    <col width="11.19921875" customWidth="1" style="20" min="476" max="476"/>
    <col width="9.19921875" customWidth="1" style="20" min="477" max="481"/>
    <col width="11.19921875" customWidth="1" style="20" min="482" max="482"/>
    <col width="11.53125" customWidth="1" style="20" min="483" max="483"/>
    <col width="11.265625" customWidth="1" style="20" min="484" max="484"/>
    <col width="9.19921875" customWidth="1" style="20" min="485" max="485"/>
    <col width="2.265625" customWidth="1" style="20" min="486" max="486"/>
    <col width="9.19921875" customWidth="1" style="20" min="487" max="720"/>
    <col width="15.265625" customWidth="1" style="20" min="721" max="721"/>
    <col width="8.265625" customWidth="1" style="20" min="722" max="722"/>
    <col width="52.46484375" customWidth="1" style="20" min="723" max="723"/>
    <col width="9.19921875" customWidth="1" style="20" min="724" max="724"/>
    <col width="11.796875" customWidth="1" style="20" min="725" max="725"/>
    <col width="9.73046875" customWidth="1" style="20" min="726" max="726"/>
    <col width="10.53125" customWidth="1" style="20" min="727" max="729"/>
    <col width="10.73046875" customWidth="1" style="20" min="730" max="730"/>
    <col width="3.46484375" customWidth="1" style="20" min="731" max="731"/>
    <col width="11.19921875" customWidth="1" style="20" min="732" max="732"/>
    <col width="9.19921875" customWidth="1" style="20" min="733" max="737"/>
    <col width="11.19921875" customWidth="1" style="20" min="738" max="738"/>
    <col width="11.53125" customWidth="1" style="20" min="739" max="739"/>
    <col width="11.265625" customWidth="1" style="20" min="740" max="740"/>
    <col width="9.19921875" customWidth="1" style="20" min="741" max="741"/>
    <col width="2.265625" customWidth="1" style="20" min="742" max="742"/>
    <col width="9.19921875" customWidth="1" style="20" min="743" max="976"/>
    <col width="15.265625" customWidth="1" style="20" min="977" max="977"/>
    <col width="8.265625" customWidth="1" style="20" min="978" max="978"/>
    <col width="52.46484375" customWidth="1" style="20" min="979" max="979"/>
    <col width="9.19921875" customWidth="1" style="20" min="980" max="980"/>
    <col width="11.796875" customWidth="1" style="20" min="981" max="981"/>
    <col width="9.73046875" customWidth="1" style="20" min="982" max="982"/>
    <col width="10.53125" customWidth="1" style="20" min="983" max="985"/>
    <col width="10.73046875" customWidth="1" style="20" min="986" max="986"/>
    <col width="3.46484375" customWidth="1" style="20" min="987" max="987"/>
    <col width="11.19921875" customWidth="1" style="20" min="988" max="988"/>
    <col width="9.19921875" customWidth="1" style="20" min="989" max="993"/>
    <col width="11.19921875" customWidth="1" style="20" min="994" max="994"/>
    <col width="11.53125" customWidth="1" style="20" min="995" max="995"/>
    <col width="11.265625" customWidth="1" style="20" min="996" max="996"/>
    <col width="9.19921875" customWidth="1" style="20" min="997" max="997"/>
    <col width="2.265625" customWidth="1" style="20" min="998" max="998"/>
    <col width="9.19921875" customWidth="1" style="20" min="999" max="1232"/>
    <col width="15.265625" customWidth="1" style="20" min="1233" max="1233"/>
    <col width="8.265625" customWidth="1" style="20" min="1234" max="1234"/>
    <col width="52.46484375" customWidth="1" style="20" min="1235" max="1235"/>
    <col width="9.19921875" customWidth="1" style="20" min="1236" max="1236"/>
    <col width="11.796875" customWidth="1" style="20" min="1237" max="1237"/>
    <col width="9.73046875" customWidth="1" style="20" min="1238" max="1238"/>
    <col width="10.53125" customWidth="1" style="20" min="1239" max="1241"/>
    <col width="10.73046875" customWidth="1" style="20" min="1242" max="1242"/>
    <col width="3.46484375" customWidth="1" style="20" min="1243" max="1243"/>
    <col width="11.19921875" customWidth="1" style="20" min="1244" max="1244"/>
    <col width="9.19921875" customWidth="1" style="20" min="1245" max="1249"/>
    <col width="11.19921875" customWidth="1" style="20" min="1250" max="1250"/>
    <col width="11.53125" customWidth="1" style="20" min="1251" max="1251"/>
    <col width="11.265625" customWidth="1" style="20" min="1252" max="1252"/>
    <col width="9.19921875" customWidth="1" style="20" min="1253" max="1253"/>
    <col width="2.265625" customWidth="1" style="20" min="1254" max="1254"/>
    <col width="9.19921875" customWidth="1" style="20" min="1255" max="1488"/>
    <col width="15.265625" customWidth="1" style="20" min="1489" max="1489"/>
    <col width="8.265625" customWidth="1" style="20" min="1490" max="1490"/>
    <col width="52.46484375" customWidth="1" style="20" min="1491" max="1491"/>
    <col width="9.19921875" customWidth="1" style="20" min="1492" max="1492"/>
    <col width="11.796875" customWidth="1" style="20" min="1493" max="1493"/>
    <col width="9.73046875" customWidth="1" style="20" min="1494" max="1494"/>
    <col width="10.53125" customWidth="1" style="20" min="1495" max="1497"/>
    <col width="10.73046875" customWidth="1" style="20" min="1498" max="1498"/>
    <col width="3.46484375" customWidth="1" style="20" min="1499" max="1499"/>
    <col width="11.19921875" customWidth="1" style="20" min="1500" max="1500"/>
    <col width="9.19921875" customWidth="1" style="20" min="1501" max="1505"/>
    <col width="11.19921875" customWidth="1" style="20" min="1506" max="1506"/>
    <col width="11.53125" customWidth="1" style="20" min="1507" max="1507"/>
    <col width="11.265625" customWidth="1" style="20" min="1508" max="1508"/>
    <col width="9.19921875" customWidth="1" style="20" min="1509" max="1509"/>
    <col width="2.265625" customWidth="1" style="20" min="1510" max="1510"/>
    <col width="9.19921875" customWidth="1" style="20" min="1511" max="1744"/>
    <col width="15.265625" customWidth="1" style="20" min="1745" max="1745"/>
    <col width="8.265625" customWidth="1" style="20" min="1746" max="1746"/>
    <col width="52.46484375" customWidth="1" style="20" min="1747" max="1747"/>
    <col width="9.19921875" customWidth="1" style="20" min="1748" max="1748"/>
    <col width="11.796875" customWidth="1" style="20" min="1749" max="1749"/>
    <col width="9.73046875" customWidth="1" style="20" min="1750" max="1750"/>
    <col width="10.53125" customWidth="1" style="20" min="1751" max="1753"/>
    <col width="10.73046875" customWidth="1" style="20" min="1754" max="1754"/>
    <col width="3.46484375" customWidth="1" style="20" min="1755" max="1755"/>
    <col width="11.19921875" customWidth="1" style="20" min="1756" max="1756"/>
    <col width="9.19921875" customWidth="1" style="20" min="1757" max="1761"/>
    <col width="11.19921875" customWidth="1" style="20" min="1762" max="1762"/>
    <col width="11.53125" customWidth="1" style="20" min="1763" max="1763"/>
    <col width="11.265625" customWidth="1" style="20" min="1764" max="1764"/>
    <col width="9.19921875" customWidth="1" style="20" min="1765" max="1765"/>
    <col width="2.265625" customWidth="1" style="20" min="1766" max="1766"/>
    <col width="9.19921875" customWidth="1" style="20" min="1767" max="2000"/>
    <col width="15.265625" customWidth="1" style="20" min="2001" max="2001"/>
    <col width="8.265625" customWidth="1" style="20" min="2002" max="2002"/>
    <col width="52.46484375" customWidth="1" style="20" min="2003" max="2003"/>
    <col width="9.19921875" customWidth="1" style="20" min="2004" max="2004"/>
    <col width="11.796875" customWidth="1" style="20" min="2005" max="2005"/>
    <col width="9.73046875" customWidth="1" style="20" min="2006" max="2006"/>
    <col width="10.53125" customWidth="1" style="20" min="2007" max="2009"/>
    <col width="10.73046875" customWidth="1" style="20" min="2010" max="2010"/>
    <col width="3.46484375" customWidth="1" style="20" min="2011" max="2011"/>
    <col width="11.19921875" customWidth="1" style="20" min="2012" max="2012"/>
    <col width="9.19921875" customWidth="1" style="20" min="2013" max="2017"/>
    <col width="11.19921875" customWidth="1" style="20" min="2018" max="2018"/>
    <col width="11.53125" customWidth="1" style="20" min="2019" max="2019"/>
    <col width="11.265625" customWidth="1" style="20" min="2020" max="2020"/>
    <col width="9.19921875" customWidth="1" style="20" min="2021" max="2021"/>
    <col width="2.265625" customWidth="1" style="20" min="2022" max="2022"/>
    <col width="9.19921875" customWidth="1" style="20" min="2023" max="2256"/>
    <col width="15.265625" customWidth="1" style="20" min="2257" max="2257"/>
    <col width="8.265625" customWidth="1" style="20" min="2258" max="2258"/>
    <col width="52.46484375" customWidth="1" style="20" min="2259" max="2259"/>
    <col width="9.19921875" customWidth="1" style="20" min="2260" max="2260"/>
    <col width="11.796875" customWidth="1" style="20" min="2261" max="2261"/>
    <col width="9.73046875" customWidth="1" style="20" min="2262" max="2262"/>
    <col width="10.53125" customWidth="1" style="20" min="2263" max="2265"/>
    <col width="10.73046875" customWidth="1" style="20" min="2266" max="2266"/>
    <col width="3.46484375" customWidth="1" style="20" min="2267" max="2267"/>
    <col width="11.19921875" customWidth="1" style="20" min="2268" max="2268"/>
    <col width="9.19921875" customWidth="1" style="20" min="2269" max="2273"/>
    <col width="11.19921875" customWidth="1" style="20" min="2274" max="2274"/>
    <col width="11.53125" customWidth="1" style="20" min="2275" max="2275"/>
    <col width="11.265625" customWidth="1" style="20" min="2276" max="2276"/>
    <col width="9.19921875" customWidth="1" style="20" min="2277" max="2277"/>
    <col width="2.265625" customWidth="1" style="20" min="2278" max="2278"/>
    <col width="9.19921875" customWidth="1" style="20" min="2279" max="2512"/>
    <col width="15.265625" customWidth="1" style="20" min="2513" max="2513"/>
    <col width="8.265625" customWidth="1" style="20" min="2514" max="2514"/>
    <col width="52.46484375" customWidth="1" style="20" min="2515" max="2515"/>
    <col width="9.19921875" customWidth="1" style="20" min="2516" max="2516"/>
    <col width="11.796875" customWidth="1" style="20" min="2517" max="2517"/>
    <col width="9.73046875" customWidth="1" style="20" min="2518" max="2518"/>
    <col width="10.53125" customWidth="1" style="20" min="2519" max="2521"/>
    <col width="10.73046875" customWidth="1" style="20" min="2522" max="2522"/>
    <col width="3.46484375" customWidth="1" style="20" min="2523" max="2523"/>
    <col width="11.19921875" customWidth="1" style="20" min="2524" max="2524"/>
    <col width="9.19921875" customWidth="1" style="20" min="2525" max="2529"/>
    <col width="11.19921875" customWidth="1" style="20" min="2530" max="2530"/>
    <col width="11.53125" customWidth="1" style="20" min="2531" max="2531"/>
    <col width="11.265625" customWidth="1" style="20" min="2532" max="2532"/>
    <col width="9.19921875" customWidth="1" style="20" min="2533" max="2533"/>
    <col width="2.265625" customWidth="1" style="20" min="2534" max="2534"/>
    <col width="9.19921875" customWidth="1" style="20" min="2535" max="2768"/>
    <col width="15.265625" customWidth="1" style="20" min="2769" max="2769"/>
    <col width="8.265625" customWidth="1" style="20" min="2770" max="2770"/>
    <col width="52.46484375" customWidth="1" style="20" min="2771" max="2771"/>
    <col width="9.19921875" customWidth="1" style="20" min="2772" max="2772"/>
    <col width="11.796875" customWidth="1" style="20" min="2773" max="2773"/>
    <col width="9.73046875" customWidth="1" style="20" min="2774" max="2774"/>
    <col width="10.53125" customWidth="1" style="20" min="2775" max="2777"/>
    <col width="10.73046875" customWidth="1" style="20" min="2778" max="2778"/>
    <col width="3.46484375" customWidth="1" style="20" min="2779" max="2779"/>
    <col width="11.19921875" customWidth="1" style="20" min="2780" max="2780"/>
    <col width="9.19921875" customWidth="1" style="20" min="2781" max="2785"/>
    <col width="11.19921875" customWidth="1" style="20" min="2786" max="2786"/>
    <col width="11.53125" customWidth="1" style="20" min="2787" max="2787"/>
    <col width="11.265625" customWidth="1" style="20" min="2788" max="2788"/>
    <col width="9.19921875" customWidth="1" style="20" min="2789" max="2789"/>
    <col width="2.265625" customWidth="1" style="20" min="2790" max="2790"/>
    <col width="9.19921875" customWidth="1" style="20" min="2791" max="3024"/>
    <col width="15.265625" customWidth="1" style="20" min="3025" max="3025"/>
    <col width="8.265625" customWidth="1" style="20" min="3026" max="3026"/>
    <col width="52.46484375" customWidth="1" style="20" min="3027" max="3027"/>
    <col width="9.19921875" customWidth="1" style="20" min="3028" max="3028"/>
    <col width="11.796875" customWidth="1" style="20" min="3029" max="3029"/>
    <col width="9.73046875" customWidth="1" style="20" min="3030" max="3030"/>
    <col width="10.53125" customWidth="1" style="20" min="3031" max="3033"/>
    <col width="10.73046875" customWidth="1" style="20" min="3034" max="3034"/>
    <col width="3.46484375" customWidth="1" style="20" min="3035" max="3035"/>
    <col width="11.19921875" customWidth="1" style="20" min="3036" max="3036"/>
    <col width="9.19921875" customWidth="1" style="20" min="3037" max="3041"/>
    <col width="11.19921875" customWidth="1" style="20" min="3042" max="3042"/>
    <col width="11.53125" customWidth="1" style="20" min="3043" max="3043"/>
    <col width="11.265625" customWidth="1" style="20" min="3044" max="3044"/>
    <col width="9.19921875" customWidth="1" style="20" min="3045" max="3045"/>
    <col width="2.265625" customWidth="1" style="20" min="3046" max="3046"/>
    <col width="9.19921875" customWidth="1" style="20" min="3047" max="3280"/>
    <col width="15.265625" customWidth="1" style="20" min="3281" max="3281"/>
    <col width="8.265625" customWidth="1" style="20" min="3282" max="3282"/>
    <col width="52.46484375" customWidth="1" style="20" min="3283" max="3283"/>
    <col width="9.19921875" customWidth="1" style="20" min="3284" max="3284"/>
    <col width="11.796875" customWidth="1" style="20" min="3285" max="3285"/>
    <col width="9.73046875" customWidth="1" style="20" min="3286" max="3286"/>
    <col width="10.53125" customWidth="1" style="20" min="3287" max="3289"/>
    <col width="10.73046875" customWidth="1" style="20" min="3290" max="3290"/>
    <col width="3.46484375" customWidth="1" style="20" min="3291" max="3291"/>
    <col width="11.19921875" customWidth="1" style="20" min="3292" max="3292"/>
    <col width="9.19921875" customWidth="1" style="20" min="3293" max="3297"/>
    <col width="11.19921875" customWidth="1" style="20" min="3298" max="3298"/>
    <col width="11.53125" customWidth="1" style="20" min="3299" max="3299"/>
    <col width="11.265625" customWidth="1" style="20" min="3300" max="3300"/>
    <col width="9.19921875" customWidth="1" style="20" min="3301" max="3301"/>
    <col width="2.265625" customWidth="1" style="20" min="3302" max="3302"/>
    <col width="9.19921875" customWidth="1" style="20" min="3303" max="3536"/>
    <col width="15.265625" customWidth="1" style="20" min="3537" max="3537"/>
    <col width="8.265625" customWidth="1" style="20" min="3538" max="3538"/>
    <col width="52.46484375" customWidth="1" style="20" min="3539" max="3539"/>
    <col width="9.19921875" customWidth="1" style="20" min="3540" max="3540"/>
    <col width="11.796875" customWidth="1" style="20" min="3541" max="3541"/>
    <col width="9.73046875" customWidth="1" style="20" min="3542" max="3542"/>
    <col width="10.53125" customWidth="1" style="20" min="3543" max="3545"/>
    <col width="10.73046875" customWidth="1" style="20" min="3546" max="3546"/>
    <col width="3.46484375" customWidth="1" style="20" min="3547" max="3547"/>
    <col width="11.19921875" customWidth="1" style="20" min="3548" max="3548"/>
    <col width="9.19921875" customWidth="1" style="20" min="3549" max="3553"/>
    <col width="11.19921875" customWidth="1" style="20" min="3554" max="3554"/>
    <col width="11.53125" customWidth="1" style="20" min="3555" max="3555"/>
    <col width="11.265625" customWidth="1" style="20" min="3556" max="3556"/>
    <col width="9.19921875" customWidth="1" style="20" min="3557" max="3557"/>
    <col width="2.265625" customWidth="1" style="20" min="3558" max="3558"/>
    <col width="9.19921875" customWidth="1" style="20" min="3559" max="3792"/>
    <col width="15.265625" customWidth="1" style="20" min="3793" max="3793"/>
    <col width="8.265625" customWidth="1" style="20" min="3794" max="3794"/>
    <col width="52.46484375" customWidth="1" style="20" min="3795" max="3795"/>
    <col width="9.19921875" customWidth="1" style="20" min="3796" max="3796"/>
    <col width="11.796875" customWidth="1" style="20" min="3797" max="3797"/>
    <col width="9.73046875" customWidth="1" style="20" min="3798" max="3798"/>
    <col width="10.53125" customWidth="1" style="20" min="3799" max="3801"/>
    <col width="10.73046875" customWidth="1" style="20" min="3802" max="3802"/>
    <col width="3.46484375" customWidth="1" style="20" min="3803" max="3803"/>
    <col width="11.19921875" customWidth="1" style="20" min="3804" max="3804"/>
    <col width="9.19921875" customWidth="1" style="20" min="3805" max="3809"/>
    <col width="11.19921875" customWidth="1" style="20" min="3810" max="3810"/>
    <col width="11.53125" customWidth="1" style="20" min="3811" max="3811"/>
    <col width="11.265625" customWidth="1" style="20" min="3812" max="3812"/>
    <col width="9.19921875" customWidth="1" style="20" min="3813" max="3813"/>
    <col width="2.265625" customWidth="1" style="20" min="3814" max="3814"/>
    <col width="9.19921875" customWidth="1" style="20" min="3815" max="4048"/>
    <col width="15.265625" customWidth="1" style="20" min="4049" max="4049"/>
    <col width="8.265625" customWidth="1" style="20" min="4050" max="4050"/>
    <col width="52.46484375" customWidth="1" style="20" min="4051" max="4051"/>
    <col width="9.19921875" customWidth="1" style="20" min="4052" max="4052"/>
    <col width="11.796875" customWidth="1" style="20" min="4053" max="4053"/>
    <col width="9.73046875" customWidth="1" style="20" min="4054" max="4054"/>
    <col width="10.53125" customWidth="1" style="20" min="4055" max="4057"/>
    <col width="10.73046875" customWidth="1" style="20" min="4058" max="4058"/>
    <col width="3.46484375" customWidth="1" style="20" min="4059" max="4059"/>
    <col width="11.19921875" customWidth="1" style="20" min="4060" max="4060"/>
    <col width="9.19921875" customWidth="1" style="20" min="4061" max="4065"/>
    <col width="11.19921875" customWidth="1" style="20" min="4066" max="4066"/>
    <col width="11.53125" customWidth="1" style="20" min="4067" max="4067"/>
    <col width="11.265625" customWidth="1" style="20" min="4068" max="4068"/>
    <col width="9.19921875" customWidth="1" style="20" min="4069" max="4069"/>
    <col width="2.265625" customWidth="1" style="20" min="4070" max="4070"/>
    <col width="9.19921875" customWidth="1" style="20" min="4071" max="4304"/>
    <col width="15.265625" customWidth="1" style="20" min="4305" max="4305"/>
    <col width="8.265625" customWidth="1" style="20" min="4306" max="4306"/>
    <col width="52.46484375" customWidth="1" style="20" min="4307" max="4307"/>
    <col width="9.19921875" customWidth="1" style="20" min="4308" max="4308"/>
    <col width="11.796875" customWidth="1" style="20" min="4309" max="4309"/>
    <col width="9.73046875" customWidth="1" style="20" min="4310" max="4310"/>
    <col width="10.53125" customWidth="1" style="20" min="4311" max="4313"/>
    <col width="10.73046875" customWidth="1" style="20" min="4314" max="4314"/>
    <col width="3.46484375" customWidth="1" style="20" min="4315" max="4315"/>
    <col width="11.19921875" customWidth="1" style="20" min="4316" max="4316"/>
    <col width="9.19921875" customWidth="1" style="20" min="4317" max="4321"/>
    <col width="11.19921875" customWidth="1" style="20" min="4322" max="4322"/>
    <col width="11.53125" customWidth="1" style="20" min="4323" max="4323"/>
    <col width="11.265625" customWidth="1" style="20" min="4324" max="4324"/>
    <col width="9.19921875" customWidth="1" style="20" min="4325" max="4325"/>
    <col width="2.265625" customWidth="1" style="20" min="4326" max="4326"/>
    <col width="9.19921875" customWidth="1" style="20" min="4327" max="4560"/>
    <col width="15.265625" customWidth="1" style="20" min="4561" max="4561"/>
    <col width="8.265625" customWidth="1" style="20" min="4562" max="4562"/>
    <col width="52.46484375" customWidth="1" style="20" min="4563" max="4563"/>
    <col width="9.19921875" customWidth="1" style="20" min="4564" max="4564"/>
    <col width="11.796875" customWidth="1" style="20" min="4565" max="4565"/>
    <col width="9.73046875" customWidth="1" style="20" min="4566" max="4566"/>
    <col width="10.53125" customWidth="1" style="20" min="4567" max="4569"/>
    <col width="10.73046875" customWidth="1" style="20" min="4570" max="4570"/>
    <col width="3.46484375" customWidth="1" style="20" min="4571" max="4571"/>
    <col width="11.19921875" customWidth="1" style="20" min="4572" max="4572"/>
    <col width="9.19921875" customWidth="1" style="20" min="4573" max="4577"/>
    <col width="11.19921875" customWidth="1" style="20" min="4578" max="4578"/>
    <col width="11.53125" customWidth="1" style="20" min="4579" max="4579"/>
    <col width="11.265625" customWidth="1" style="20" min="4580" max="4580"/>
    <col width="9.19921875" customWidth="1" style="20" min="4581" max="4581"/>
    <col width="2.265625" customWidth="1" style="20" min="4582" max="4582"/>
    <col width="9.19921875" customWidth="1" style="20" min="4583" max="4816"/>
    <col width="15.265625" customWidth="1" style="20" min="4817" max="4817"/>
    <col width="8.265625" customWidth="1" style="20" min="4818" max="4818"/>
    <col width="52.46484375" customWidth="1" style="20" min="4819" max="4819"/>
    <col width="9.19921875" customWidth="1" style="20" min="4820" max="4820"/>
    <col width="11.796875" customWidth="1" style="20" min="4821" max="4821"/>
    <col width="9.73046875" customWidth="1" style="20" min="4822" max="4822"/>
    <col width="10.53125" customWidth="1" style="20" min="4823" max="4825"/>
    <col width="10.73046875" customWidth="1" style="20" min="4826" max="4826"/>
    <col width="3.46484375" customWidth="1" style="20" min="4827" max="4827"/>
    <col width="11.19921875" customWidth="1" style="20" min="4828" max="4828"/>
    <col width="9.19921875" customWidth="1" style="20" min="4829" max="4833"/>
    <col width="11.19921875" customWidth="1" style="20" min="4834" max="4834"/>
    <col width="11.53125" customWidth="1" style="20" min="4835" max="4835"/>
    <col width="11.265625" customWidth="1" style="20" min="4836" max="4836"/>
    <col width="9.19921875" customWidth="1" style="20" min="4837" max="4837"/>
    <col width="2.265625" customWidth="1" style="20" min="4838" max="4838"/>
    <col width="9.19921875" customWidth="1" style="20" min="4839" max="5072"/>
    <col width="15.265625" customWidth="1" style="20" min="5073" max="5073"/>
    <col width="8.265625" customWidth="1" style="20" min="5074" max="5074"/>
    <col width="52.46484375" customWidth="1" style="20" min="5075" max="5075"/>
    <col width="9.19921875" customWidth="1" style="20" min="5076" max="5076"/>
    <col width="11.796875" customWidth="1" style="20" min="5077" max="5077"/>
    <col width="9.73046875" customWidth="1" style="20" min="5078" max="5078"/>
    <col width="10.53125" customWidth="1" style="20" min="5079" max="5081"/>
    <col width="10.73046875" customWidth="1" style="20" min="5082" max="5082"/>
    <col width="3.46484375" customWidth="1" style="20" min="5083" max="5083"/>
    <col width="11.19921875" customWidth="1" style="20" min="5084" max="5084"/>
    <col width="9.19921875" customWidth="1" style="20" min="5085" max="5089"/>
    <col width="11.19921875" customWidth="1" style="20" min="5090" max="5090"/>
    <col width="11.53125" customWidth="1" style="20" min="5091" max="5091"/>
    <col width="11.265625" customWidth="1" style="20" min="5092" max="5092"/>
    <col width="9.19921875" customWidth="1" style="20" min="5093" max="5093"/>
    <col width="2.265625" customWidth="1" style="20" min="5094" max="5094"/>
    <col width="9.19921875" customWidth="1" style="20" min="5095" max="5328"/>
    <col width="15.265625" customWidth="1" style="20" min="5329" max="5329"/>
    <col width="8.265625" customWidth="1" style="20" min="5330" max="5330"/>
    <col width="52.46484375" customWidth="1" style="20" min="5331" max="5331"/>
    <col width="9.19921875" customWidth="1" style="20" min="5332" max="5332"/>
    <col width="11.796875" customWidth="1" style="20" min="5333" max="5333"/>
    <col width="9.73046875" customWidth="1" style="20" min="5334" max="5334"/>
    <col width="10.53125" customWidth="1" style="20" min="5335" max="5337"/>
    <col width="10.73046875" customWidth="1" style="20" min="5338" max="5338"/>
    <col width="3.46484375" customWidth="1" style="20" min="5339" max="5339"/>
    <col width="11.19921875" customWidth="1" style="20" min="5340" max="5340"/>
    <col width="9.19921875" customWidth="1" style="20" min="5341" max="5345"/>
    <col width="11.19921875" customWidth="1" style="20" min="5346" max="5346"/>
    <col width="11.53125" customWidth="1" style="20" min="5347" max="5347"/>
    <col width="11.265625" customWidth="1" style="20" min="5348" max="5348"/>
    <col width="9.19921875" customWidth="1" style="20" min="5349" max="5349"/>
    <col width="2.265625" customWidth="1" style="20" min="5350" max="5350"/>
    <col width="9.19921875" customWidth="1" style="20" min="5351" max="5584"/>
    <col width="15.265625" customWidth="1" style="20" min="5585" max="5585"/>
    <col width="8.265625" customWidth="1" style="20" min="5586" max="5586"/>
    <col width="52.46484375" customWidth="1" style="20" min="5587" max="5587"/>
    <col width="9.19921875" customWidth="1" style="20" min="5588" max="5588"/>
    <col width="11.796875" customWidth="1" style="20" min="5589" max="5589"/>
    <col width="9.73046875" customWidth="1" style="20" min="5590" max="5590"/>
    <col width="10.53125" customWidth="1" style="20" min="5591" max="5593"/>
    <col width="10.73046875" customWidth="1" style="20" min="5594" max="5594"/>
    <col width="3.46484375" customWidth="1" style="20" min="5595" max="5595"/>
    <col width="11.19921875" customWidth="1" style="20" min="5596" max="5596"/>
    <col width="9.19921875" customWidth="1" style="20" min="5597" max="5601"/>
    <col width="11.19921875" customWidth="1" style="20" min="5602" max="5602"/>
    <col width="11.53125" customWidth="1" style="20" min="5603" max="5603"/>
    <col width="11.265625" customWidth="1" style="20" min="5604" max="5604"/>
    <col width="9.19921875" customWidth="1" style="20" min="5605" max="5605"/>
    <col width="2.265625" customWidth="1" style="20" min="5606" max="5606"/>
    <col width="9.19921875" customWidth="1" style="20" min="5607" max="5840"/>
    <col width="15.265625" customWidth="1" style="20" min="5841" max="5841"/>
    <col width="8.265625" customWidth="1" style="20" min="5842" max="5842"/>
    <col width="52.46484375" customWidth="1" style="20" min="5843" max="5843"/>
    <col width="9.19921875" customWidth="1" style="20" min="5844" max="5844"/>
    <col width="11.796875" customWidth="1" style="20" min="5845" max="5845"/>
    <col width="9.73046875" customWidth="1" style="20" min="5846" max="5846"/>
    <col width="10.53125" customWidth="1" style="20" min="5847" max="5849"/>
    <col width="10.73046875" customWidth="1" style="20" min="5850" max="5850"/>
    <col width="3.46484375" customWidth="1" style="20" min="5851" max="5851"/>
    <col width="11.19921875" customWidth="1" style="20" min="5852" max="5852"/>
    <col width="9.19921875" customWidth="1" style="20" min="5853" max="5857"/>
    <col width="11.19921875" customWidth="1" style="20" min="5858" max="5858"/>
    <col width="11.53125" customWidth="1" style="20" min="5859" max="5859"/>
    <col width="11.265625" customWidth="1" style="20" min="5860" max="5860"/>
    <col width="9.19921875" customWidth="1" style="20" min="5861" max="5861"/>
    <col width="2.265625" customWidth="1" style="20" min="5862" max="5862"/>
    <col width="9.19921875" customWidth="1" style="20" min="5863" max="6096"/>
    <col width="15.265625" customWidth="1" style="20" min="6097" max="6097"/>
    <col width="8.265625" customWidth="1" style="20" min="6098" max="6098"/>
    <col width="52.46484375" customWidth="1" style="20" min="6099" max="6099"/>
    <col width="9.19921875" customWidth="1" style="20" min="6100" max="6100"/>
    <col width="11.796875" customWidth="1" style="20" min="6101" max="6101"/>
    <col width="9.73046875" customWidth="1" style="20" min="6102" max="6102"/>
    <col width="10.53125" customWidth="1" style="20" min="6103" max="6105"/>
    <col width="10.73046875" customWidth="1" style="20" min="6106" max="6106"/>
    <col width="3.46484375" customWidth="1" style="20" min="6107" max="6107"/>
    <col width="11.19921875" customWidth="1" style="20" min="6108" max="6108"/>
    <col width="9.19921875" customWidth="1" style="20" min="6109" max="6113"/>
    <col width="11.19921875" customWidth="1" style="20" min="6114" max="6114"/>
    <col width="11.53125" customWidth="1" style="20" min="6115" max="6115"/>
    <col width="11.265625" customWidth="1" style="20" min="6116" max="6116"/>
    <col width="9.19921875" customWidth="1" style="20" min="6117" max="6117"/>
    <col width="2.265625" customWidth="1" style="20" min="6118" max="6118"/>
    <col width="9.19921875" customWidth="1" style="20" min="6119" max="6352"/>
    <col width="15.265625" customWidth="1" style="20" min="6353" max="6353"/>
    <col width="8.265625" customWidth="1" style="20" min="6354" max="6354"/>
    <col width="52.46484375" customWidth="1" style="20" min="6355" max="6355"/>
    <col width="9.19921875" customWidth="1" style="20" min="6356" max="6356"/>
    <col width="11.796875" customWidth="1" style="20" min="6357" max="6357"/>
    <col width="9.73046875" customWidth="1" style="20" min="6358" max="6358"/>
    <col width="10.53125" customWidth="1" style="20" min="6359" max="6361"/>
    <col width="10.73046875" customWidth="1" style="20" min="6362" max="6362"/>
    <col width="3.46484375" customWidth="1" style="20" min="6363" max="6363"/>
    <col width="11.19921875" customWidth="1" style="20" min="6364" max="6364"/>
    <col width="9.19921875" customWidth="1" style="20" min="6365" max="6369"/>
    <col width="11.19921875" customWidth="1" style="20" min="6370" max="6370"/>
    <col width="11.53125" customWidth="1" style="20" min="6371" max="6371"/>
    <col width="11.265625" customWidth="1" style="20" min="6372" max="6372"/>
    <col width="9.19921875" customWidth="1" style="20" min="6373" max="6373"/>
    <col width="2.265625" customWidth="1" style="20" min="6374" max="6374"/>
    <col width="9.19921875" customWidth="1" style="20" min="6375" max="6608"/>
    <col width="15.265625" customWidth="1" style="20" min="6609" max="6609"/>
    <col width="8.265625" customWidth="1" style="20" min="6610" max="6610"/>
    <col width="52.46484375" customWidth="1" style="20" min="6611" max="6611"/>
    <col width="9.19921875" customWidth="1" style="20" min="6612" max="6612"/>
    <col width="11.796875" customWidth="1" style="20" min="6613" max="6613"/>
    <col width="9.73046875" customWidth="1" style="20" min="6614" max="6614"/>
    <col width="10.53125" customWidth="1" style="20" min="6615" max="6617"/>
    <col width="10.73046875" customWidth="1" style="20" min="6618" max="6618"/>
    <col width="3.46484375" customWidth="1" style="20" min="6619" max="6619"/>
    <col width="11.19921875" customWidth="1" style="20" min="6620" max="6620"/>
    <col width="9.19921875" customWidth="1" style="20" min="6621" max="6625"/>
    <col width="11.19921875" customWidth="1" style="20" min="6626" max="6626"/>
    <col width="11.53125" customWidth="1" style="20" min="6627" max="6627"/>
    <col width="11.265625" customWidth="1" style="20" min="6628" max="6628"/>
    <col width="9.19921875" customWidth="1" style="20" min="6629" max="6629"/>
    <col width="2.265625" customWidth="1" style="20" min="6630" max="6630"/>
    <col width="9.19921875" customWidth="1" style="20" min="6631" max="6864"/>
    <col width="15.265625" customWidth="1" style="20" min="6865" max="6865"/>
    <col width="8.265625" customWidth="1" style="20" min="6866" max="6866"/>
    <col width="52.46484375" customWidth="1" style="20" min="6867" max="6867"/>
    <col width="9.19921875" customWidth="1" style="20" min="6868" max="6868"/>
    <col width="11.796875" customWidth="1" style="20" min="6869" max="6869"/>
    <col width="9.73046875" customWidth="1" style="20" min="6870" max="6870"/>
    <col width="10.53125" customWidth="1" style="20" min="6871" max="6873"/>
    <col width="10.73046875" customWidth="1" style="20" min="6874" max="6874"/>
    <col width="3.46484375" customWidth="1" style="20" min="6875" max="6875"/>
    <col width="11.19921875" customWidth="1" style="20" min="6876" max="6876"/>
    <col width="9.19921875" customWidth="1" style="20" min="6877" max="6881"/>
    <col width="11.19921875" customWidth="1" style="20" min="6882" max="6882"/>
    <col width="11.53125" customWidth="1" style="20" min="6883" max="6883"/>
    <col width="11.265625" customWidth="1" style="20" min="6884" max="6884"/>
    <col width="9.19921875" customWidth="1" style="20" min="6885" max="6885"/>
    <col width="2.265625" customWidth="1" style="20" min="6886" max="6886"/>
    <col width="9.19921875" customWidth="1" style="20" min="6887" max="7120"/>
    <col width="15.265625" customWidth="1" style="20" min="7121" max="7121"/>
    <col width="8.265625" customWidth="1" style="20" min="7122" max="7122"/>
    <col width="52.46484375" customWidth="1" style="20" min="7123" max="7123"/>
    <col width="9.19921875" customWidth="1" style="20" min="7124" max="7124"/>
    <col width="11.796875" customWidth="1" style="20" min="7125" max="7125"/>
    <col width="9.73046875" customWidth="1" style="20" min="7126" max="7126"/>
    <col width="10.53125" customWidth="1" style="20" min="7127" max="7129"/>
    <col width="10.73046875" customWidth="1" style="20" min="7130" max="7130"/>
    <col width="3.46484375" customWidth="1" style="20" min="7131" max="7131"/>
    <col width="11.19921875" customWidth="1" style="20" min="7132" max="7132"/>
    <col width="9.19921875" customWidth="1" style="20" min="7133" max="7137"/>
    <col width="11.19921875" customWidth="1" style="20" min="7138" max="7138"/>
    <col width="11.53125" customWidth="1" style="20" min="7139" max="7139"/>
    <col width="11.265625" customWidth="1" style="20" min="7140" max="7140"/>
    <col width="9.19921875" customWidth="1" style="20" min="7141" max="7141"/>
    <col width="2.265625" customWidth="1" style="20" min="7142" max="7142"/>
    <col width="9.19921875" customWidth="1" style="20" min="7143" max="7376"/>
    <col width="15.265625" customWidth="1" style="20" min="7377" max="7377"/>
    <col width="8.265625" customWidth="1" style="20" min="7378" max="7378"/>
    <col width="52.46484375" customWidth="1" style="20" min="7379" max="7379"/>
    <col width="9.19921875" customWidth="1" style="20" min="7380" max="7380"/>
    <col width="11.796875" customWidth="1" style="20" min="7381" max="7381"/>
    <col width="9.73046875" customWidth="1" style="20" min="7382" max="7382"/>
    <col width="10.53125" customWidth="1" style="20" min="7383" max="7385"/>
    <col width="10.73046875" customWidth="1" style="20" min="7386" max="7386"/>
    <col width="3.46484375" customWidth="1" style="20" min="7387" max="7387"/>
    <col width="11.19921875" customWidth="1" style="20" min="7388" max="7388"/>
    <col width="9.19921875" customWidth="1" style="20" min="7389" max="7393"/>
    <col width="11.19921875" customWidth="1" style="20" min="7394" max="7394"/>
    <col width="11.53125" customWidth="1" style="20" min="7395" max="7395"/>
    <col width="11.265625" customWidth="1" style="20" min="7396" max="7396"/>
    <col width="9.19921875" customWidth="1" style="20" min="7397" max="7397"/>
    <col width="2.265625" customWidth="1" style="20" min="7398" max="7398"/>
    <col width="9.19921875" customWidth="1" style="20" min="7399" max="7632"/>
    <col width="15.265625" customWidth="1" style="20" min="7633" max="7633"/>
    <col width="8.265625" customWidth="1" style="20" min="7634" max="7634"/>
    <col width="52.46484375" customWidth="1" style="20" min="7635" max="7635"/>
    <col width="9.19921875" customWidth="1" style="20" min="7636" max="7636"/>
    <col width="11.796875" customWidth="1" style="20" min="7637" max="7637"/>
    <col width="9.73046875" customWidth="1" style="20" min="7638" max="7638"/>
    <col width="10.53125" customWidth="1" style="20" min="7639" max="7641"/>
    <col width="10.73046875" customWidth="1" style="20" min="7642" max="7642"/>
    <col width="3.46484375" customWidth="1" style="20" min="7643" max="7643"/>
    <col width="11.19921875" customWidth="1" style="20" min="7644" max="7644"/>
    <col width="9.19921875" customWidth="1" style="20" min="7645" max="7649"/>
    <col width="11.19921875" customWidth="1" style="20" min="7650" max="7650"/>
    <col width="11.53125" customWidth="1" style="20" min="7651" max="7651"/>
    <col width="11.265625" customWidth="1" style="20" min="7652" max="7652"/>
    <col width="9.19921875" customWidth="1" style="20" min="7653" max="7653"/>
    <col width="2.265625" customWidth="1" style="20" min="7654" max="7654"/>
    <col width="9.19921875" customWidth="1" style="20" min="7655" max="7888"/>
    <col width="15.265625" customWidth="1" style="20" min="7889" max="7889"/>
    <col width="8.265625" customWidth="1" style="20" min="7890" max="7890"/>
    <col width="52.46484375" customWidth="1" style="20" min="7891" max="7891"/>
    <col width="9.19921875" customWidth="1" style="20" min="7892" max="7892"/>
    <col width="11.796875" customWidth="1" style="20" min="7893" max="7893"/>
    <col width="9.73046875" customWidth="1" style="20" min="7894" max="7894"/>
    <col width="10.53125" customWidth="1" style="20" min="7895" max="7897"/>
    <col width="10.73046875" customWidth="1" style="20" min="7898" max="7898"/>
    <col width="3.46484375" customWidth="1" style="20" min="7899" max="7899"/>
    <col width="11.19921875" customWidth="1" style="20" min="7900" max="7900"/>
    <col width="9.19921875" customWidth="1" style="20" min="7901" max="7905"/>
    <col width="11.19921875" customWidth="1" style="20" min="7906" max="7906"/>
    <col width="11.53125" customWidth="1" style="20" min="7907" max="7907"/>
    <col width="11.265625" customWidth="1" style="20" min="7908" max="7908"/>
    <col width="9.19921875" customWidth="1" style="20" min="7909" max="7909"/>
    <col width="2.265625" customWidth="1" style="20" min="7910" max="7910"/>
    <col width="9.19921875" customWidth="1" style="20" min="7911" max="8144"/>
    <col width="15.265625" customWidth="1" style="20" min="8145" max="8145"/>
    <col width="8.265625" customWidth="1" style="20" min="8146" max="8146"/>
    <col width="52.46484375" customWidth="1" style="20" min="8147" max="8147"/>
    <col width="9.19921875" customWidth="1" style="20" min="8148" max="8148"/>
    <col width="11.796875" customWidth="1" style="20" min="8149" max="8149"/>
    <col width="9.73046875" customWidth="1" style="20" min="8150" max="8150"/>
    <col width="10.53125" customWidth="1" style="20" min="8151" max="8153"/>
    <col width="10.73046875" customWidth="1" style="20" min="8154" max="8154"/>
    <col width="3.46484375" customWidth="1" style="20" min="8155" max="8155"/>
    <col width="11.19921875" customWidth="1" style="20" min="8156" max="8156"/>
    <col width="9.19921875" customWidth="1" style="20" min="8157" max="8161"/>
    <col width="11.19921875" customWidth="1" style="20" min="8162" max="8162"/>
    <col width="11.53125" customWidth="1" style="20" min="8163" max="8163"/>
    <col width="11.265625" customWidth="1" style="20" min="8164" max="8164"/>
    <col width="9.19921875" customWidth="1" style="20" min="8165" max="8165"/>
    <col width="2.265625" customWidth="1" style="20" min="8166" max="8166"/>
    <col width="9.19921875" customWidth="1" style="20" min="8167" max="8400"/>
    <col width="15.265625" customWidth="1" style="20" min="8401" max="8401"/>
    <col width="8.265625" customWidth="1" style="20" min="8402" max="8402"/>
    <col width="52.46484375" customWidth="1" style="20" min="8403" max="8403"/>
    <col width="9.19921875" customWidth="1" style="20" min="8404" max="8404"/>
    <col width="11.796875" customWidth="1" style="20" min="8405" max="8405"/>
    <col width="9.73046875" customWidth="1" style="20" min="8406" max="8406"/>
    <col width="10.53125" customWidth="1" style="20" min="8407" max="8409"/>
    <col width="10.73046875" customWidth="1" style="20" min="8410" max="8410"/>
    <col width="3.46484375" customWidth="1" style="20" min="8411" max="8411"/>
    <col width="11.19921875" customWidth="1" style="20" min="8412" max="8412"/>
    <col width="9.19921875" customWidth="1" style="20" min="8413" max="8417"/>
    <col width="11.19921875" customWidth="1" style="20" min="8418" max="8418"/>
    <col width="11.53125" customWidth="1" style="20" min="8419" max="8419"/>
    <col width="11.265625" customWidth="1" style="20" min="8420" max="8420"/>
    <col width="9.19921875" customWidth="1" style="20" min="8421" max="8421"/>
    <col width="2.265625" customWidth="1" style="20" min="8422" max="8422"/>
    <col width="9.19921875" customWidth="1" style="20" min="8423" max="8656"/>
    <col width="15.265625" customWidth="1" style="20" min="8657" max="8657"/>
    <col width="8.265625" customWidth="1" style="20" min="8658" max="8658"/>
    <col width="52.46484375" customWidth="1" style="20" min="8659" max="8659"/>
    <col width="9.19921875" customWidth="1" style="20" min="8660" max="8660"/>
    <col width="11.796875" customWidth="1" style="20" min="8661" max="8661"/>
    <col width="9.73046875" customWidth="1" style="20" min="8662" max="8662"/>
    <col width="10.53125" customWidth="1" style="20" min="8663" max="8665"/>
    <col width="10.73046875" customWidth="1" style="20" min="8666" max="8666"/>
    <col width="3.46484375" customWidth="1" style="20" min="8667" max="8667"/>
    <col width="11.19921875" customWidth="1" style="20" min="8668" max="8668"/>
    <col width="9.19921875" customWidth="1" style="20" min="8669" max="8673"/>
    <col width="11.19921875" customWidth="1" style="20" min="8674" max="8674"/>
    <col width="11.53125" customWidth="1" style="20" min="8675" max="8675"/>
    <col width="11.265625" customWidth="1" style="20" min="8676" max="8676"/>
    <col width="9.19921875" customWidth="1" style="20" min="8677" max="8677"/>
    <col width="2.265625" customWidth="1" style="20" min="8678" max="8678"/>
    <col width="9.19921875" customWidth="1" style="20" min="8679" max="8912"/>
    <col width="15.265625" customWidth="1" style="20" min="8913" max="8913"/>
    <col width="8.265625" customWidth="1" style="20" min="8914" max="8914"/>
    <col width="52.46484375" customWidth="1" style="20" min="8915" max="8915"/>
    <col width="9.19921875" customWidth="1" style="20" min="8916" max="8916"/>
    <col width="11.796875" customWidth="1" style="20" min="8917" max="8917"/>
    <col width="9.73046875" customWidth="1" style="20" min="8918" max="8918"/>
    <col width="10.53125" customWidth="1" style="20" min="8919" max="8921"/>
    <col width="10.73046875" customWidth="1" style="20" min="8922" max="8922"/>
    <col width="3.46484375" customWidth="1" style="20" min="8923" max="8923"/>
    <col width="11.19921875" customWidth="1" style="20" min="8924" max="8924"/>
    <col width="9.19921875" customWidth="1" style="20" min="8925" max="8929"/>
    <col width="11.19921875" customWidth="1" style="20" min="8930" max="8930"/>
    <col width="11.53125" customWidth="1" style="20" min="8931" max="8931"/>
    <col width="11.265625" customWidth="1" style="20" min="8932" max="8932"/>
    <col width="9.19921875" customWidth="1" style="20" min="8933" max="8933"/>
    <col width="2.265625" customWidth="1" style="20" min="8934" max="8934"/>
    <col width="9.19921875" customWidth="1" style="20" min="8935" max="9168"/>
    <col width="15.265625" customWidth="1" style="20" min="9169" max="9169"/>
    <col width="8.265625" customWidth="1" style="20" min="9170" max="9170"/>
    <col width="52.46484375" customWidth="1" style="20" min="9171" max="9171"/>
    <col width="9.19921875" customWidth="1" style="20" min="9172" max="9172"/>
    <col width="11.796875" customWidth="1" style="20" min="9173" max="9173"/>
    <col width="9.73046875" customWidth="1" style="20" min="9174" max="9174"/>
    <col width="10.53125" customWidth="1" style="20" min="9175" max="9177"/>
    <col width="10.73046875" customWidth="1" style="20" min="9178" max="9178"/>
    <col width="3.46484375" customWidth="1" style="20" min="9179" max="9179"/>
    <col width="11.19921875" customWidth="1" style="20" min="9180" max="9180"/>
    <col width="9.19921875" customWidth="1" style="20" min="9181" max="9185"/>
    <col width="11.19921875" customWidth="1" style="20" min="9186" max="9186"/>
    <col width="11.53125" customWidth="1" style="20" min="9187" max="9187"/>
    <col width="11.265625" customWidth="1" style="20" min="9188" max="9188"/>
    <col width="9.19921875" customWidth="1" style="20" min="9189" max="9189"/>
    <col width="2.265625" customWidth="1" style="20" min="9190" max="9190"/>
    <col width="9.19921875" customWidth="1" style="20" min="9191" max="9424"/>
    <col width="15.265625" customWidth="1" style="20" min="9425" max="9425"/>
    <col width="8.265625" customWidth="1" style="20" min="9426" max="9426"/>
    <col width="52.46484375" customWidth="1" style="20" min="9427" max="9427"/>
    <col width="9.19921875" customWidth="1" style="20" min="9428" max="9428"/>
    <col width="11.796875" customWidth="1" style="20" min="9429" max="9429"/>
    <col width="9.73046875" customWidth="1" style="20" min="9430" max="9430"/>
    <col width="10.53125" customWidth="1" style="20" min="9431" max="9433"/>
    <col width="10.73046875" customWidth="1" style="20" min="9434" max="9434"/>
    <col width="3.46484375" customWidth="1" style="20" min="9435" max="9435"/>
    <col width="11.19921875" customWidth="1" style="20" min="9436" max="9436"/>
    <col width="9.19921875" customWidth="1" style="20" min="9437" max="9441"/>
    <col width="11.19921875" customWidth="1" style="20" min="9442" max="9442"/>
    <col width="11.53125" customWidth="1" style="20" min="9443" max="9443"/>
    <col width="11.265625" customWidth="1" style="20" min="9444" max="9444"/>
    <col width="9.19921875" customWidth="1" style="20" min="9445" max="9445"/>
    <col width="2.265625" customWidth="1" style="20" min="9446" max="9446"/>
    <col width="9.19921875" customWidth="1" style="20" min="9447" max="9680"/>
    <col width="15.265625" customWidth="1" style="20" min="9681" max="9681"/>
    <col width="8.265625" customWidth="1" style="20" min="9682" max="9682"/>
    <col width="52.46484375" customWidth="1" style="20" min="9683" max="9683"/>
    <col width="9.19921875" customWidth="1" style="20" min="9684" max="9684"/>
    <col width="11.796875" customWidth="1" style="20" min="9685" max="9685"/>
    <col width="9.73046875" customWidth="1" style="20" min="9686" max="9686"/>
    <col width="10.53125" customWidth="1" style="20" min="9687" max="9689"/>
    <col width="10.73046875" customWidth="1" style="20" min="9690" max="9690"/>
    <col width="3.46484375" customWidth="1" style="20" min="9691" max="9691"/>
    <col width="11.19921875" customWidth="1" style="20" min="9692" max="9692"/>
    <col width="9.19921875" customWidth="1" style="20" min="9693" max="9697"/>
    <col width="11.19921875" customWidth="1" style="20" min="9698" max="9698"/>
    <col width="11.53125" customWidth="1" style="20" min="9699" max="9699"/>
    <col width="11.265625" customWidth="1" style="20" min="9700" max="9700"/>
    <col width="9.19921875" customWidth="1" style="20" min="9701" max="9701"/>
    <col width="2.265625" customWidth="1" style="20" min="9702" max="9702"/>
    <col width="9.19921875" customWidth="1" style="20" min="9703" max="9936"/>
    <col width="15.265625" customWidth="1" style="20" min="9937" max="9937"/>
    <col width="8.265625" customWidth="1" style="20" min="9938" max="9938"/>
    <col width="52.46484375" customWidth="1" style="20" min="9939" max="9939"/>
    <col width="9.19921875" customWidth="1" style="20" min="9940" max="9940"/>
    <col width="11.796875" customWidth="1" style="20" min="9941" max="9941"/>
    <col width="9.73046875" customWidth="1" style="20" min="9942" max="9942"/>
    <col width="10.53125" customWidth="1" style="20" min="9943" max="9945"/>
    <col width="10.73046875" customWidth="1" style="20" min="9946" max="9946"/>
    <col width="3.46484375" customWidth="1" style="20" min="9947" max="9947"/>
    <col width="11.19921875" customWidth="1" style="20" min="9948" max="9948"/>
    <col width="9.19921875" customWidth="1" style="20" min="9949" max="9953"/>
    <col width="11.19921875" customWidth="1" style="20" min="9954" max="9954"/>
    <col width="11.53125" customWidth="1" style="20" min="9955" max="9955"/>
    <col width="11.265625" customWidth="1" style="20" min="9956" max="9956"/>
    <col width="9.19921875" customWidth="1" style="20" min="9957" max="9957"/>
    <col width="2.265625" customWidth="1" style="20" min="9958" max="9958"/>
    <col width="9.19921875" customWidth="1" style="20" min="9959" max="10192"/>
    <col width="15.265625" customWidth="1" style="20" min="10193" max="10193"/>
    <col width="8.265625" customWidth="1" style="20" min="10194" max="10194"/>
    <col width="52.46484375" customWidth="1" style="20" min="10195" max="10195"/>
    <col width="9.19921875" customWidth="1" style="20" min="10196" max="10196"/>
    <col width="11.796875" customWidth="1" style="20" min="10197" max="10197"/>
    <col width="9.73046875" customWidth="1" style="20" min="10198" max="10198"/>
    <col width="10.53125" customWidth="1" style="20" min="10199" max="10201"/>
    <col width="10.73046875" customWidth="1" style="20" min="10202" max="10202"/>
    <col width="3.46484375" customWidth="1" style="20" min="10203" max="10203"/>
    <col width="11.19921875" customWidth="1" style="20" min="10204" max="10204"/>
    <col width="9.19921875" customWidth="1" style="20" min="10205" max="10209"/>
    <col width="11.19921875" customWidth="1" style="20" min="10210" max="10210"/>
    <col width="11.53125" customWidth="1" style="20" min="10211" max="10211"/>
    <col width="11.265625" customWidth="1" style="20" min="10212" max="10212"/>
    <col width="9.19921875" customWidth="1" style="20" min="10213" max="10213"/>
    <col width="2.265625" customWidth="1" style="20" min="10214" max="10214"/>
    <col width="9.19921875" customWidth="1" style="20" min="10215" max="10448"/>
    <col width="15.265625" customWidth="1" style="20" min="10449" max="10449"/>
    <col width="8.265625" customWidth="1" style="20" min="10450" max="10450"/>
    <col width="52.46484375" customWidth="1" style="20" min="10451" max="10451"/>
    <col width="9.19921875" customWidth="1" style="20" min="10452" max="10452"/>
    <col width="11.796875" customWidth="1" style="20" min="10453" max="10453"/>
    <col width="9.73046875" customWidth="1" style="20" min="10454" max="10454"/>
    <col width="10.53125" customWidth="1" style="20" min="10455" max="10457"/>
    <col width="10.73046875" customWidth="1" style="20" min="10458" max="10458"/>
    <col width="3.46484375" customWidth="1" style="20" min="10459" max="10459"/>
    <col width="11.19921875" customWidth="1" style="20" min="10460" max="10460"/>
    <col width="9.19921875" customWidth="1" style="20" min="10461" max="10465"/>
    <col width="11.19921875" customWidth="1" style="20" min="10466" max="10466"/>
    <col width="11.53125" customWidth="1" style="20" min="10467" max="10467"/>
    <col width="11.265625" customWidth="1" style="20" min="10468" max="10468"/>
    <col width="9.19921875" customWidth="1" style="20" min="10469" max="10469"/>
    <col width="2.265625" customWidth="1" style="20" min="10470" max="10470"/>
    <col width="9.19921875" customWidth="1" style="20" min="10471" max="10704"/>
    <col width="15.265625" customWidth="1" style="20" min="10705" max="10705"/>
    <col width="8.265625" customWidth="1" style="20" min="10706" max="10706"/>
    <col width="52.46484375" customWidth="1" style="20" min="10707" max="10707"/>
    <col width="9.19921875" customWidth="1" style="20" min="10708" max="10708"/>
    <col width="11.796875" customWidth="1" style="20" min="10709" max="10709"/>
    <col width="9.73046875" customWidth="1" style="20" min="10710" max="10710"/>
    <col width="10.53125" customWidth="1" style="20" min="10711" max="10713"/>
    <col width="10.73046875" customWidth="1" style="20" min="10714" max="10714"/>
    <col width="3.46484375" customWidth="1" style="20" min="10715" max="10715"/>
    <col width="11.19921875" customWidth="1" style="20" min="10716" max="10716"/>
    <col width="9.19921875" customWidth="1" style="20" min="10717" max="10721"/>
    <col width="11.19921875" customWidth="1" style="20" min="10722" max="10722"/>
    <col width="11.53125" customWidth="1" style="20" min="10723" max="10723"/>
    <col width="11.265625" customWidth="1" style="20" min="10724" max="10724"/>
    <col width="9.19921875" customWidth="1" style="20" min="10725" max="10725"/>
    <col width="2.265625" customWidth="1" style="20" min="10726" max="10726"/>
    <col width="9.19921875" customWidth="1" style="20" min="10727" max="10960"/>
    <col width="15.265625" customWidth="1" style="20" min="10961" max="10961"/>
    <col width="8.265625" customWidth="1" style="20" min="10962" max="10962"/>
    <col width="52.46484375" customWidth="1" style="20" min="10963" max="10963"/>
    <col width="9.19921875" customWidth="1" style="20" min="10964" max="10964"/>
    <col width="11.796875" customWidth="1" style="20" min="10965" max="10965"/>
    <col width="9.73046875" customWidth="1" style="20" min="10966" max="10966"/>
    <col width="10.53125" customWidth="1" style="20" min="10967" max="10969"/>
    <col width="10.73046875" customWidth="1" style="20" min="10970" max="10970"/>
    <col width="3.46484375" customWidth="1" style="20" min="10971" max="10971"/>
    <col width="11.19921875" customWidth="1" style="20" min="10972" max="10972"/>
    <col width="9.19921875" customWidth="1" style="20" min="10973" max="10977"/>
    <col width="11.19921875" customWidth="1" style="20" min="10978" max="10978"/>
    <col width="11.53125" customWidth="1" style="20" min="10979" max="10979"/>
    <col width="11.265625" customWidth="1" style="20" min="10980" max="10980"/>
    <col width="9.19921875" customWidth="1" style="20" min="10981" max="10981"/>
    <col width="2.265625" customWidth="1" style="20" min="10982" max="10982"/>
    <col width="9.19921875" customWidth="1" style="20" min="10983" max="11216"/>
    <col width="15.265625" customWidth="1" style="20" min="11217" max="11217"/>
    <col width="8.265625" customWidth="1" style="20" min="11218" max="11218"/>
    <col width="52.46484375" customWidth="1" style="20" min="11219" max="11219"/>
    <col width="9.19921875" customWidth="1" style="20" min="11220" max="11220"/>
    <col width="11.796875" customWidth="1" style="20" min="11221" max="11221"/>
    <col width="9.73046875" customWidth="1" style="20" min="11222" max="11222"/>
    <col width="10.53125" customWidth="1" style="20" min="11223" max="11225"/>
    <col width="10.73046875" customWidth="1" style="20" min="11226" max="11226"/>
    <col width="3.46484375" customWidth="1" style="20" min="11227" max="11227"/>
    <col width="11.19921875" customWidth="1" style="20" min="11228" max="11228"/>
    <col width="9.19921875" customWidth="1" style="20" min="11229" max="11233"/>
    <col width="11.19921875" customWidth="1" style="20" min="11234" max="11234"/>
    <col width="11.53125" customWidth="1" style="20" min="11235" max="11235"/>
    <col width="11.265625" customWidth="1" style="20" min="11236" max="11236"/>
    <col width="9.19921875" customWidth="1" style="20" min="11237" max="11237"/>
    <col width="2.265625" customWidth="1" style="20" min="11238" max="11238"/>
    <col width="9.19921875" customWidth="1" style="20" min="11239" max="11472"/>
    <col width="15.265625" customWidth="1" style="20" min="11473" max="11473"/>
    <col width="8.265625" customWidth="1" style="20" min="11474" max="11474"/>
    <col width="52.46484375" customWidth="1" style="20" min="11475" max="11475"/>
    <col width="9.19921875" customWidth="1" style="20" min="11476" max="11476"/>
    <col width="11.796875" customWidth="1" style="20" min="11477" max="11477"/>
    <col width="9.73046875" customWidth="1" style="20" min="11478" max="11478"/>
    <col width="10.53125" customWidth="1" style="20" min="11479" max="11481"/>
    <col width="10.73046875" customWidth="1" style="20" min="11482" max="11482"/>
    <col width="3.46484375" customWidth="1" style="20" min="11483" max="11483"/>
    <col width="11.19921875" customWidth="1" style="20" min="11484" max="11484"/>
    <col width="9.19921875" customWidth="1" style="20" min="11485" max="11489"/>
    <col width="11.19921875" customWidth="1" style="20" min="11490" max="11490"/>
    <col width="11.53125" customWidth="1" style="20" min="11491" max="11491"/>
    <col width="11.265625" customWidth="1" style="20" min="11492" max="11492"/>
    <col width="9.19921875" customWidth="1" style="20" min="11493" max="11493"/>
    <col width="2.265625" customWidth="1" style="20" min="11494" max="11494"/>
    <col width="9.19921875" customWidth="1" style="20" min="11495" max="11728"/>
    <col width="15.265625" customWidth="1" style="20" min="11729" max="11729"/>
    <col width="8.265625" customWidth="1" style="20" min="11730" max="11730"/>
    <col width="52.46484375" customWidth="1" style="20" min="11731" max="11731"/>
    <col width="9.19921875" customWidth="1" style="20" min="11732" max="11732"/>
    <col width="11.796875" customWidth="1" style="20" min="11733" max="11733"/>
    <col width="9.73046875" customWidth="1" style="20" min="11734" max="11734"/>
    <col width="10.53125" customWidth="1" style="20" min="11735" max="11737"/>
    <col width="10.73046875" customWidth="1" style="20" min="11738" max="11738"/>
    <col width="3.46484375" customWidth="1" style="20" min="11739" max="11739"/>
    <col width="11.19921875" customWidth="1" style="20" min="11740" max="11740"/>
    <col width="9.19921875" customWidth="1" style="20" min="11741" max="11745"/>
    <col width="11.19921875" customWidth="1" style="20" min="11746" max="11746"/>
    <col width="11.53125" customWidth="1" style="20" min="11747" max="11747"/>
    <col width="11.265625" customWidth="1" style="20" min="11748" max="11748"/>
    <col width="9.19921875" customWidth="1" style="20" min="11749" max="11749"/>
    <col width="2.265625" customWidth="1" style="20" min="11750" max="11750"/>
    <col width="9.19921875" customWidth="1" style="20" min="11751" max="11984"/>
    <col width="15.265625" customWidth="1" style="20" min="11985" max="11985"/>
    <col width="8.265625" customWidth="1" style="20" min="11986" max="11986"/>
    <col width="52.46484375" customWidth="1" style="20" min="11987" max="11987"/>
    <col width="9.19921875" customWidth="1" style="20" min="11988" max="11988"/>
    <col width="11.796875" customWidth="1" style="20" min="11989" max="11989"/>
    <col width="9.73046875" customWidth="1" style="20" min="11990" max="11990"/>
    <col width="10.53125" customWidth="1" style="20" min="11991" max="11993"/>
    <col width="10.73046875" customWidth="1" style="20" min="11994" max="11994"/>
    <col width="3.46484375" customWidth="1" style="20" min="11995" max="11995"/>
    <col width="11.19921875" customWidth="1" style="20" min="11996" max="11996"/>
    <col width="9.19921875" customWidth="1" style="20" min="11997" max="12001"/>
    <col width="11.19921875" customWidth="1" style="20" min="12002" max="12002"/>
    <col width="11.53125" customWidth="1" style="20" min="12003" max="12003"/>
    <col width="11.265625" customWidth="1" style="20" min="12004" max="12004"/>
    <col width="9.19921875" customWidth="1" style="20" min="12005" max="12005"/>
    <col width="2.265625" customWidth="1" style="20" min="12006" max="12006"/>
    <col width="9.19921875" customWidth="1" style="20" min="12007" max="12240"/>
    <col width="15.265625" customWidth="1" style="20" min="12241" max="12241"/>
    <col width="8.265625" customWidth="1" style="20" min="12242" max="12242"/>
    <col width="52.46484375" customWidth="1" style="20" min="12243" max="12243"/>
    <col width="9.19921875" customWidth="1" style="20" min="12244" max="12244"/>
    <col width="11.796875" customWidth="1" style="20" min="12245" max="12245"/>
    <col width="9.73046875" customWidth="1" style="20" min="12246" max="12246"/>
    <col width="10.53125" customWidth="1" style="20" min="12247" max="12249"/>
    <col width="10.73046875" customWidth="1" style="20" min="12250" max="12250"/>
    <col width="3.46484375" customWidth="1" style="20" min="12251" max="12251"/>
    <col width="11.19921875" customWidth="1" style="20" min="12252" max="12252"/>
    <col width="9.19921875" customWidth="1" style="20" min="12253" max="12257"/>
    <col width="11.19921875" customWidth="1" style="20" min="12258" max="12258"/>
    <col width="11.53125" customWidth="1" style="20" min="12259" max="12259"/>
    <col width="11.265625" customWidth="1" style="20" min="12260" max="12260"/>
    <col width="9.19921875" customWidth="1" style="20" min="12261" max="12261"/>
    <col width="2.265625" customWidth="1" style="20" min="12262" max="12262"/>
    <col width="9.19921875" customWidth="1" style="20" min="12263" max="12496"/>
    <col width="15.265625" customWidth="1" style="20" min="12497" max="12497"/>
    <col width="8.265625" customWidth="1" style="20" min="12498" max="12498"/>
    <col width="52.46484375" customWidth="1" style="20" min="12499" max="12499"/>
    <col width="9.19921875" customWidth="1" style="20" min="12500" max="12500"/>
    <col width="11.796875" customWidth="1" style="20" min="12501" max="12501"/>
    <col width="9.73046875" customWidth="1" style="20" min="12502" max="12502"/>
    <col width="10.53125" customWidth="1" style="20" min="12503" max="12505"/>
    <col width="10.73046875" customWidth="1" style="20" min="12506" max="12506"/>
    <col width="3.46484375" customWidth="1" style="20" min="12507" max="12507"/>
    <col width="11.19921875" customWidth="1" style="20" min="12508" max="12508"/>
    <col width="9.19921875" customWidth="1" style="20" min="12509" max="12513"/>
    <col width="11.19921875" customWidth="1" style="20" min="12514" max="12514"/>
    <col width="11.53125" customWidth="1" style="20" min="12515" max="12515"/>
    <col width="11.265625" customWidth="1" style="20" min="12516" max="12516"/>
    <col width="9.19921875" customWidth="1" style="20" min="12517" max="12517"/>
    <col width="2.265625" customWidth="1" style="20" min="12518" max="12518"/>
    <col width="9.19921875" customWidth="1" style="20" min="12519" max="12752"/>
    <col width="15.265625" customWidth="1" style="20" min="12753" max="12753"/>
    <col width="8.265625" customWidth="1" style="20" min="12754" max="12754"/>
    <col width="52.46484375" customWidth="1" style="20" min="12755" max="12755"/>
    <col width="9.19921875" customWidth="1" style="20" min="12756" max="12756"/>
    <col width="11.796875" customWidth="1" style="20" min="12757" max="12757"/>
    <col width="9.73046875" customWidth="1" style="20" min="12758" max="12758"/>
    <col width="10.53125" customWidth="1" style="20" min="12759" max="12761"/>
    <col width="10.73046875" customWidth="1" style="20" min="12762" max="12762"/>
    <col width="3.46484375" customWidth="1" style="20" min="12763" max="12763"/>
    <col width="11.19921875" customWidth="1" style="20" min="12764" max="12764"/>
    <col width="9.19921875" customWidth="1" style="20" min="12765" max="12769"/>
    <col width="11.19921875" customWidth="1" style="20" min="12770" max="12770"/>
    <col width="11.53125" customWidth="1" style="20" min="12771" max="12771"/>
    <col width="11.265625" customWidth="1" style="20" min="12772" max="12772"/>
    <col width="9.19921875" customWidth="1" style="20" min="12773" max="12773"/>
    <col width="2.265625" customWidth="1" style="20" min="12774" max="12774"/>
    <col width="9.19921875" customWidth="1" style="20" min="12775" max="13008"/>
    <col width="15.265625" customWidth="1" style="20" min="13009" max="13009"/>
    <col width="8.265625" customWidth="1" style="20" min="13010" max="13010"/>
    <col width="52.46484375" customWidth="1" style="20" min="13011" max="13011"/>
    <col width="9.19921875" customWidth="1" style="20" min="13012" max="13012"/>
    <col width="11.796875" customWidth="1" style="20" min="13013" max="13013"/>
    <col width="9.73046875" customWidth="1" style="20" min="13014" max="13014"/>
    <col width="10.53125" customWidth="1" style="20" min="13015" max="13017"/>
    <col width="10.73046875" customWidth="1" style="20" min="13018" max="13018"/>
    <col width="3.46484375" customWidth="1" style="20" min="13019" max="13019"/>
    <col width="11.19921875" customWidth="1" style="20" min="13020" max="13020"/>
    <col width="9.19921875" customWidth="1" style="20" min="13021" max="13025"/>
    <col width="11.19921875" customWidth="1" style="20" min="13026" max="13026"/>
    <col width="11.53125" customWidth="1" style="20" min="13027" max="13027"/>
    <col width="11.265625" customWidth="1" style="20" min="13028" max="13028"/>
    <col width="9.19921875" customWidth="1" style="20" min="13029" max="13029"/>
    <col width="2.265625" customWidth="1" style="20" min="13030" max="13030"/>
    <col width="9.19921875" customWidth="1" style="20" min="13031" max="13264"/>
    <col width="15.265625" customWidth="1" style="20" min="13265" max="13265"/>
    <col width="8.265625" customWidth="1" style="20" min="13266" max="13266"/>
    <col width="52.46484375" customWidth="1" style="20" min="13267" max="13267"/>
    <col width="9.19921875" customWidth="1" style="20" min="13268" max="13268"/>
    <col width="11.796875" customWidth="1" style="20" min="13269" max="13269"/>
    <col width="9.73046875" customWidth="1" style="20" min="13270" max="13270"/>
    <col width="10.53125" customWidth="1" style="20" min="13271" max="13273"/>
    <col width="10.73046875" customWidth="1" style="20" min="13274" max="13274"/>
    <col width="3.46484375" customWidth="1" style="20" min="13275" max="13275"/>
    <col width="11.19921875" customWidth="1" style="20" min="13276" max="13276"/>
    <col width="9.19921875" customWidth="1" style="20" min="13277" max="13281"/>
    <col width="11.19921875" customWidth="1" style="20" min="13282" max="13282"/>
    <col width="11.53125" customWidth="1" style="20" min="13283" max="13283"/>
    <col width="11.265625" customWidth="1" style="20" min="13284" max="13284"/>
    <col width="9.19921875" customWidth="1" style="20" min="13285" max="13285"/>
    <col width="2.265625" customWidth="1" style="20" min="13286" max="13286"/>
    <col width="9.19921875" customWidth="1" style="20" min="13287" max="13520"/>
    <col width="15.265625" customWidth="1" style="20" min="13521" max="13521"/>
    <col width="8.265625" customWidth="1" style="20" min="13522" max="13522"/>
    <col width="52.46484375" customWidth="1" style="20" min="13523" max="13523"/>
    <col width="9.19921875" customWidth="1" style="20" min="13524" max="13524"/>
    <col width="11.796875" customWidth="1" style="20" min="13525" max="13525"/>
    <col width="9.73046875" customWidth="1" style="20" min="13526" max="13526"/>
    <col width="10.53125" customWidth="1" style="20" min="13527" max="13529"/>
    <col width="10.73046875" customWidth="1" style="20" min="13530" max="13530"/>
    <col width="3.46484375" customWidth="1" style="20" min="13531" max="13531"/>
    <col width="11.19921875" customWidth="1" style="20" min="13532" max="13532"/>
    <col width="9.19921875" customWidth="1" style="20" min="13533" max="13537"/>
    <col width="11.19921875" customWidth="1" style="20" min="13538" max="13538"/>
    <col width="11.53125" customWidth="1" style="20" min="13539" max="13539"/>
    <col width="11.265625" customWidth="1" style="20" min="13540" max="13540"/>
    <col width="9.19921875" customWidth="1" style="20" min="13541" max="13541"/>
    <col width="2.265625" customWidth="1" style="20" min="13542" max="13542"/>
    <col width="9.19921875" customWidth="1" style="20" min="13543" max="13776"/>
    <col width="15.265625" customWidth="1" style="20" min="13777" max="13777"/>
    <col width="8.265625" customWidth="1" style="20" min="13778" max="13778"/>
    <col width="52.46484375" customWidth="1" style="20" min="13779" max="13779"/>
    <col width="9.19921875" customWidth="1" style="20" min="13780" max="13780"/>
    <col width="11.796875" customWidth="1" style="20" min="13781" max="13781"/>
    <col width="9.73046875" customWidth="1" style="20" min="13782" max="13782"/>
    <col width="10.53125" customWidth="1" style="20" min="13783" max="13785"/>
    <col width="10.73046875" customWidth="1" style="20" min="13786" max="13786"/>
    <col width="3.46484375" customWidth="1" style="20" min="13787" max="13787"/>
    <col width="11.19921875" customWidth="1" style="20" min="13788" max="13788"/>
    <col width="9.19921875" customWidth="1" style="20" min="13789" max="13793"/>
    <col width="11.19921875" customWidth="1" style="20" min="13794" max="13794"/>
    <col width="11.53125" customWidth="1" style="20" min="13795" max="13795"/>
    <col width="11.265625" customWidth="1" style="20" min="13796" max="13796"/>
    <col width="9.19921875" customWidth="1" style="20" min="13797" max="13797"/>
    <col width="2.265625" customWidth="1" style="20" min="13798" max="13798"/>
    <col width="9.19921875" customWidth="1" style="20" min="13799" max="14032"/>
    <col width="15.265625" customWidth="1" style="20" min="14033" max="14033"/>
    <col width="8.265625" customWidth="1" style="20" min="14034" max="14034"/>
    <col width="52.46484375" customWidth="1" style="20" min="14035" max="14035"/>
    <col width="9.19921875" customWidth="1" style="20" min="14036" max="14036"/>
    <col width="11.796875" customWidth="1" style="20" min="14037" max="14037"/>
    <col width="9.73046875" customWidth="1" style="20" min="14038" max="14038"/>
    <col width="10.53125" customWidth="1" style="20" min="14039" max="14041"/>
    <col width="10.73046875" customWidth="1" style="20" min="14042" max="14042"/>
    <col width="3.46484375" customWidth="1" style="20" min="14043" max="14043"/>
    <col width="11.19921875" customWidth="1" style="20" min="14044" max="14044"/>
    <col width="9.19921875" customWidth="1" style="20" min="14045" max="14049"/>
    <col width="11.19921875" customWidth="1" style="20" min="14050" max="14050"/>
    <col width="11.53125" customWidth="1" style="20" min="14051" max="14051"/>
    <col width="11.265625" customWidth="1" style="20" min="14052" max="14052"/>
    <col width="9.19921875" customWidth="1" style="20" min="14053" max="14053"/>
    <col width="2.265625" customWidth="1" style="20" min="14054" max="14054"/>
    <col width="9.19921875" customWidth="1" style="20" min="14055" max="14288"/>
    <col width="15.265625" customWidth="1" style="20" min="14289" max="14289"/>
    <col width="8.265625" customWidth="1" style="20" min="14290" max="14290"/>
    <col width="52.46484375" customWidth="1" style="20" min="14291" max="14291"/>
    <col width="9.19921875" customWidth="1" style="20" min="14292" max="14292"/>
    <col width="11.796875" customWidth="1" style="20" min="14293" max="14293"/>
    <col width="9.73046875" customWidth="1" style="20" min="14294" max="14294"/>
    <col width="10.53125" customWidth="1" style="20" min="14295" max="14297"/>
    <col width="10.73046875" customWidth="1" style="20" min="14298" max="14298"/>
    <col width="3.46484375" customWidth="1" style="20" min="14299" max="14299"/>
    <col width="11.19921875" customWidth="1" style="20" min="14300" max="14300"/>
    <col width="9.19921875" customWidth="1" style="20" min="14301" max="14305"/>
    <col width="11.19921875" customWidth="1" style="20" min="14306" max="14306"/>
    <col width="11.53125" customWidth="1" style="20" min="14307" max="14307"/>
    <col width="11.265625" customWidth="1" style="20" min="14308" max="14308"/>
    <col width="9.19921875" customWidth="1" style="20" min="14309" max="14309"/>
    <col width="2.265625" customWidth="1" style="20" min="14310" max="14310"/>
    <col width="9.19921875" customWidth="1" style="20" min="14311" max="14544"/>
    <col width="15.265625" customWidth="1" style="20" min="14545" max="14545"/>
    <col width="8.265625" customWidth="1" style="20" min="14546" max="14546"/>
    <col width="52.46484375" customWidth="1" style="20" min="14547" max="14547"/>
    <col width="9.19921875" customWidth="1" style="20" min="14548" max="14548"/>
    <col width="11.796875" customWidth="1" style="20" min="14549" max="14549"/>
    <col width="9.73046875" customWidth="1" style="20" min="14550" max="14550"/>
    <col width="10.53125" customWidth="1" style="20" min="14551" max="14553"/>
    <col width="10.73046875" customWidth="1" style="20" min="14554" max="14554"/>
    <col width="3.46484375" customWidth="1" style="20" min="14555" max="14555"/>
    <col width="11.19921875" customWidth="1" style="20" min="14556" max="14556"/>
    <col width="9.19921875" customWidth="1" style="20" min="14557" max="14561"/>
    <col width="11.19921875" customWidth="1" style="20" min="14562" max="14562"/>
    <col width="11.53125" customWidth="1" style="20" min="14563" max="14563"/>
    <col width="11.265625" customWidth="1" style="20" min="14564" max="14564"/>
    <col width="9.19921875" customWidth="1" style="20" min="14565" max="14565"/>
    <col width="2.265625" customWidth="1" style="20" min="14566" max="14566"/>
    <col width="9.19921875" customWidth="1" style="20" min="14567" max="14800"/>
    <col width="15.265625" customWidth="1" style="20" min="14801" max="14801"/>
    <col width="8.265625" customWidth="1" style="20" min="14802" max="14802"/>
    <col width="52.46484375" customWidth="1" style="20" min="14803" max="14803"/>
    <col width="9.19921875" customWidth="1" style="20" min="14804" max="14804"/>
    <col width="11.796875" customWidth="1" style="20" min="14805" max="14805"/>
    <col width="9.73046875" customWidth="1" style="20" min="14806" max="14806"/>
    <col width="10.53125" customWidth="1" style="20" min="14807" max="14809"/>
    <col width="10.73046875" customWidth="1" style="20" min="14810" max="14810"/>
    <col width="3.46484375" customWidth="1" style="20" min="14811" max="14811"/>
    <col width="11.19921875" customWidth="1" style="20" min="14812" max="14812"/>
    <col width="9.19921875" customWidth="1" style="20" min="14813" max="14817"/>
    <col width="11.19921875" customWidth="1" style="20" min="14818" max="14818"/>
    <col width="11.53125" customWidth="1" style="20" min="14819" max="14819"/>
    <col width="11.265625" customWidth="1" style="20" min="14820" max="14820"/>
    <col width="9.19921875" customWidth="1" style="20" min="14821" max="14821"/>
    <col width="2.265625" customWidth="1" style="20" min="14822" max="14822"/>
    <col width="9.19921875" customWidth="1" style="20" min="14823" max="15056"/>
    <col width="15.265625" customWidth="1" style="20" min="15057" max="15057"/>
    <col width="8.265625" customWidth="1" style="20" min="15058" max="15058"/>
    <col width="52.46484375" customWidth="1" style="20" min="15059" max="15059"/>
    <col width="9.19921875" customWidth="1" style="20" min="15060" max="15060"/>
    <col width="11.796875" customWidth="1" style="20" min="15061" max="15061"/>
    <col width="9.73046875" customWidth="1" style="20" min="15062" max="15062"/>
    <col width="10.53125" customWidth="1" style="20" min="15063" max="15065"/>
    <col width="10.73046875" customWidth="1" style="20" min="15066" max="15066"/>
    <col width="3.46484375" customWidth="1" style="20" min="15067" max="15067"/>
    <col width="11.19921875" customWidth="1" style="20" min="15068" max="15068"/>
    <col width="9.19921875" customWidth="1" style="20" min="15069" max="15073"/>
    <col width="11.19921875" customWidth="1" style="20" min="15074" max="15074"/>
    <col width="11.53125" customWidth="1" style="20" min="15075" max="15075"/>
    <col width="11.265625" customWidth="1" style="20" min="15076" max="15076"/>
    <col width="9.19921875" customWidth="1" style="20" min="15077" max="15077"/>
    <col width="2.265625" customWidth="1" style="20" min="15078" max="15078"/>
    <col width="9.19921875" customWidth="1" style="20" min="15079" max="15312"/>
    <col width="15.265625" customWidth="1" style="20" min="15313" max="15313"/>
    <col width="8.265625" customWidth="1" style="20" min="15314" max="15314"/>
    <col width="52.46484375" customWidth="1" style="20" min="15315" max="15315"/>
    <col width="9.19921875" customWidth="1" style="20" min="15316" max="15316"/>
    <col width="11.796875" customWidth="1" style="20" min="15317" max="15317"/>
    <col width="9.73046875" customWidth="1" style="20" min="15318" max="15318"/>
    <col width="10.53125" customWidth="1" style="20" min="15319" max="15321"/>
    <col width="10.73046875" customWidth="1" style="20" min="15322" max="15322"/>
    <col width="3.46484375" customWidth="1" style="20" min="15323" max="15323"/>
    <col width="11.19921875" customWidth="1" style="20" min="15324" max="15324"/>
    <col width="9.19921875" customWidth="1" style="20" min="15325" max="15329"/>
    <col width="11.19921875" customWidth="1" style="20" min="15330" max="15330"/>
    <col width="11.53125" customWidth="1" style="20" min="15331" max="15331"/>
    <col width="11.265625" customWidth="1" style="20" min="15332" max="15332"/>
    <col width="9.19921875" customWidth="1" style="20" min="15333" max="15333"/>
    <col width="2.265625" customWidth="1" style="20" min="15334" max="15334"/>
    <col width="9.19921875" customWidth="1" style="20" min="15335" max="15568"/>
    <col width="15.265625" customWidth="1" style="20" min="15569" max="15569"/>
    <col width="8.265625" customWidth="1" style="20" min="15570" max="15570"/>
    <col width="52.46484375" customWidth="1" style="20" min="15571" max="15571"/>
    <col width="9.19921875" customWidth="1" style="20" min="15572" max="15572"/>
    <col width="11.796875" customWidth="1" style="20" min="15573" max="15573"/>
    <col width="9.73046875" customWidth="1" style="20" min="15574" max="15574"/>
    <col width="10.53125" customWidth="1" style="20" min="15575" max="15577"/>
    <col width="10.73046875" customWidth="1" style="20" min="15578" max="15578"/>
    <col width="3.46484375" customWidth="1" style="20" min="15579" max="15579"/>
    <col width="11.19921875" customWidth="1" style="20" min="15580" max="15580"/>
    <col width="9.19921875" customWidth="1" style="20" min="15581" max="15585"/>
    <col width="11.19921875" customWidth="1" style="20" min="15586" max="15586"/>
    <col width="11.53125" customWidth="1" style="20" min="15587" max="15587"/>
    <col width="11.265625" customWidth="1" style="20" min="15588" max="15588"/>
    <col width="9.19921875" customWidth="1" style="20" min="15589" max="15589"/>
    <col width="2.265625" customWidth="1" style="20" min="15590" max="15590"/>
    <col width="9.19921875" customWidth="1" style="20" min="15591" max="15824"/>
    <col width="15.265625" customWidth="1" style="20" min="15825" max="15825"/>
    <col width="8.265625" customWidth="1" style="20" min="15826" max="15826"/>
    <col width="52.46484375" customWidth="1" style="20" min="15827" max="15827"/>
    <col width="9.19921875" customWidth="1" style="20" min="15828" max="15828"/>
    <col width="11.796875" customWidth="1" style="20" min="15829" max="15829"/>
    <col width="9.73046875" customWidth="1" style="20" min="15830" max="15830"/>
    <col width="10.53125" customWidth="1" style="20" min="15831" max="15833"/>
    <col width="10.73046875" customWidth="1" style="20" min="15834" max="15834"/>
    <col width="3.46484375" customWidth="1" style="20" min="15835" max="15835"/>
    <col width="11.19921875" customWidth="1" style="20" min="15836" max="15836"/>
    <col width="9.19921875" customWidth="1" style="20" min="15837" max="15841"/>
    <col width="11.19921875" customWidth="1" style="20" min="15842" max="15842"/>
    <col width="11.53125" customWidth="1" style="20" min="15843" max="15843"/>
    <col width="11.265625" customWidth="1" style="20" min="15844" max="15844"/>
    <col width="9.19921875" customWidth="1" style="20" min="15845" max="15845"/>
    <col width="2.265625" customWidth="1" style="20" min="15846" max="15846"/>
    <col width="9.19921875" customWidth="1" style="20" min="15847" max="16080"/>
    <col width="15.265625" customWidth="1" style="20" min="16081" max="16081"/>
    <col width="8.265625" customWidth="1" style="20" min="16082" max="16082"/>
    <col width="52.46484375" customWidth="1" style="20" min="16083" max="16083"/>
    <col width="9.19921875" customWidth="1" style="20" min="16084" max="16084"/>
    <col width="11.796875" customWidth="1" style="20" min="16085" max="16085"/>
    <col width="9.73046875" customWidth="1" style="20" min="16086" max="16086"/>
    <col width="10.53125" customWidth="1" style="20" min="16087" max="16089"/>
    <col width="10.73046875" customWidth="1" style="20" min="16090" max="16090"/>
    <col width="3.46484375" customWidth="1" style="20" min="16091" max="16091"/>
    <col width="11.19921875" customWidth="1" style="20" min="16092" max="16092"/>
    <col width="9.19921875" customWidth="1" style="20" min="16093" max="16097"/>
    <col width="11.19921875" customWidth="1" style="20" min="16098" max="16098"/>
    <col width="11.53125" customWidth="1" style="20" min="16099" max="16099"/>
    <col width="11.265625" customWidth="1" style="20" min="16100" max="16100"/>
    <col width="9.19921875" customWidth="1" style="20" min="16101" max="16101"/>
    <col width="2.265625" customWidth="1" style="20" min="16102" max="16102"/>
    <col width="9.19921875" customWidth="1" style="20" min="16103" max="16384"/>
  </cols>
  <sheetData>
    <row r="1" ht="15" customHeight="1">
      <c r="B1" s="155" t="n"/>
    </row>
    <row r="2" ht="19.05" customHeight="1">
      <c r="B2" s="14" t="n"/>
      <c r="C2" s="14" t="n"/>
      <c r="D2" s="14" t="n"/>
      <c r="E2" s="19" t="n"/>
      <c r="F2" s="19" t="n"/>
      <c r="G2" s="38" t="n"/>
      <c r="H2" s="19" t="n"/>
      <c r="I2" s="19" t="n"/>
      <c r="J2" s="19" t="n"/>
      <c r="K2" s="19" t="n"/>
      <c r="L2" s="19" t="n"/>
    </row>
    <row r="3" ht="18.75" customHeight="1">
      <c r="B3" s="14" t="n"/>
      <c r="C3" s="14" t="n"/>
      <c r="D3" s="14" t="n"/>
      <c r="E3" s="19" t="n"/>
      <c r="F3" s="19" t="n"/>
      <c r="G3" s="38" t="n"/>
      <c r="H3" s="19" t="n"/>
      <c r="I3" s="19" t="n"/>
      <c r="J3" s="19" t="n"/>
      <c r="K3" s="19" t="n"/>
      <c r="L3" s="19" t="n"/>
    </row>
    <row r="4" ht="12.75" customHeight="1">
      <c r="B4" s="6" t="inlineStr">
        <is>
          <t>Versión:      03</t>
        </is>
      </c>
      <c r="C4" s="1" t="n"/>
      <c r="D4" s="2" t="n"/>
      <c r="E4" s="19" t="n"/>
      <c r="F4" s="19" t="n"/>
      <c r="G4" s="19" t="n"/>
      <c r="H4" s="19" t="n"/>
      <c r="L4" s="79" t="inlineStr">
        <is>
          <t>Código:</t>
        </is>
      </c>
      <c r="M4" s="156" t="inlineStr">
        <is>
          <t>MUMX-F-ME-003</t>
        </is>
      </c>
    </row>
    <row r="5" ht="12.75" customHeight="1">
      <c r="B5" s="8" t="inlineStr">
        <is>
          <t>Página:        1</t>
        </is>
      </c>
      <c r="C5" s="19" t="n"/>
      <c r="D5" s="19" t="n"/>
      <c r="E5" s="19" t="n"/>
      <c r="F5" s="19" t="n"/>
      <c r="G5" s="19" t="n"/>
      <c r="H5" s="19" t="n"/>
      <c r="I5" s="19" t="n"/>
      <c r="L5" s="10" t="inlineStr">
        <is>
          <t>Fecha:</t>
        </is>
      </c>
      <c r="M5" s="168" t="n">
        <v>44705</v>
      </c>
    </row>
    <row r="6" ht="30" customHeight="1" thickBot="1">
      <c r="B6" s="39" t="n"/>
      <c r="C6" s="19" t="n"/>
      <c r="D6" s="19" t="n"/>
      <c r="E6" s="19" t="n"/>
      <c r="F6" s="19" t="n"/>
      <c r="G6" s="19" t="n"/>
      <c r="H6" s="19" t="n"/>
      <c r="I6" s="19" t="n"/>
      <c r="L6" s="167" t="inlineStr">
        <is>
          <t>COT: No. consecutivo de Rep. Vtas</t>
        </is>
      </c>
      <c r="O6" s="64" t="n"/>
    </row>
    <row r="7" ht="25.5" customFormat="1" customHeight="1" s="47" thickBot="1">
      <c r="B7" s="96" t="inlineStr">
        <is>
          <t xml:space="preserve">CLIENTE </t>
        </is>
      </c>
      <c r="C7" s="151" t="inlineStr">
        <is>
          <t>XXX</t>
        </is>
      </c>
      <c r="D7" s="196" t="n"/>
      <c r="E7" s="196" t="n"/>
      <c r="F7" s="196" t="n"/>
      <c r="G7" s="196" t="n"/>
      <c r="H7" s="196" t="n"/>
      <c r="I7" s="196" t="n"/>
      <c r="J7" s="196" t="n"/>
      <c r="K7" s="196" t="n"/>
      <c r="L7" s="97" t="inlineStr">
        <is>
          <t>FECHA</t>
        </is>
      </c>
      <c r="M7" s="218" t="inlineStr">
        <is>
          <t xml:space="preserve">INDICAR FECHA </t>
        </is>
      </c>
      <c r="N7" s="197" t="n"/>
    </row>
    <row r="8" ht="21" customHeight="1" thickBot="1">
      <c r="B8" s="44" t="n"/>
      <c r="C8" s="45" t="n"/>
      <c r="D8" s="45" t="n"/>
      <c r="E8" s="45" t="n"/>
      <c r="F8" s="45" t="n"/>
      <c r="G8" s="45" t="n"/>
      <c r="H8" s="45" t="n"/>
      <c r="I8" s="45" t="n"/>
      <c r="J8" s="45" t="n"/>
      <c r="K8" s="45" t="n"/>
      <c r="L8" s="44" t="n"/>
      <c r="M8" s="46" t="n"/>
      <c r="N8" s="44" t="n"/>
    </row>
    <row r="9" ht="46.15" customHeight="1">
      <c r="B9" s="73" t="inlineStr">
        <is>
          <t xml:space="preserve">Material </t>
        </is>
      </c>
      <c r="C9" s="74" t="inlineStr">
        <is>
          <t>Espesor (micras)</t>
        </is>
      </c>
      <c r="D9" s="74" t="inlineStr">
        <is>
          <t>Ancho (mm)</t>
        </is>
      </c>
      <c r="E9" s="74" t="inlineStr">
        <is>
          <t>Diámetro Externo (mm/rollo)</t>
        </is>
      </c>
      <c r="F9" s="74" t="inlineStr">
        <is>
          <t>Rollo (mts)</t>
        </is>
      </c>
      <c r="G9" s="74" t="inlineStr">
        <is>
          <t>Metros por Palet</t>
        </is>
      </c>
      <c r="H9" s="74" t="inlineStr">
        <is>
          <t xml:space="preserve">Rollos por Pallet   </t>
        </is>
      </c>
      <c r="I9" s="74" t="inlineStr">
        <is>
          <t>Dimensiones de Pallet    (mm)</t>
        </is>
      </c>
      <c r="J9" s="74" t="inlineStr">
        <is>
          <t>Peso de Pallet       (kg)</t>
        </is>
      </c>
      <c r="K9" s="74" t="inlineStr">
        <is>
          <t>Pedido Mínimo (mts/Tns)</t>
        </is>
      </c>
      <c r="L9" s="74" t="inlineStr">
        <is>
          <t>INCOTERM</t>
        </is>
      </c>
      <c r="M9" s="74" t="inlineStr">
        <is>
          <t>Precio Km. (eur/usd)</t>
        </is>
      </c>
      <c r="N9" s="75" t="inlineStr">
        <is>
          <t>Precio Ton. (eur/usd)</t>
        </is>
      </c>
    </row>
    <row r="10" ht="16.9" customHeight="1" thickBot="1">
      <c r="B10" s="68" t="inlineStr">
        <is>
          <t>XXX</t>
        </is>
      </c>
      <c r="C10" s="69" t="inlineStr">
        <is>
          <t>xx</t>
        </is>
      </c>
      <c r="D10" s="69" t="inlineStr">
        <is>
          <t>xx</t>
        </is>
      </c>
      <c r="E10" s="69" t="inlineStr">
        <is>
          <t>xx</t>
        </is>
      </c>
      <c r="F10" s="70" t="inlineStr">
        <is>
          <t>xx</t>
        </is>
      </c>
      <c r="G10" s="70" t="inlineStr">
        <is>
          <t>xx</t>
        </is>
      </c>
      <c r="H10" s="70" t="inlineStr">
        <is>
          <t>xx</t>
        </is>
      </c>
      <c r="I10" s="70" t="inlineStr">
        <is>
          <t>xx</t>
        </is>
      </c>
      <c r="J10" s="70" t="inlineStr">
        <is>
          <t>xx</t>
        </is>
      </c>
      <c r="K10" s="70" t="inlineStr">
        <is>
          <t>xx</t>
        </is>
      </c>
      <c r="L10" s="70" t="inlineStr">
        <is>
          <t>xx</t>
        </is>
      </c>
      <c r="M10" s="219" t="n">
        <v>0</v>
      </c>
      <c r="N10" s="220" t="n">
        <v>0</v>
      </c>
    </row>
    <row r="11" ht="16.9" customHeight="1" thickBot="1">
      <c r="B11" s="166" t="inlineStr">
        <is>
          <t>TERMINOS DE VENTA</t>
        </is>
      </c>
      <c r="M11" s="166" t="n"/>
    </row>
    <row r="12" ht="39" customHeight="1">
      <c r="B12" s="159" t="inlineStr">
        <is>
          <t>Notas: Los precios anteriores corresponde para un contrato de consumo por un total de anual, por la cantida de (Indicar la cantidad en Mts y/o Kilos como pedido minímo).</t>
        </is>
      </c>
      <c r="C12" s="206" t="n"/>
      <c r="D12" s="206" t="n"/>
      <c r="E12" s="206" t="n"/>
      <c r="F12" s="206" t="n"/>
      <c r="G12" s="206" t="n"/>
      <c r="H12" s="206" t="n"/>
      <c r="I12" s="206" t="n"/>
      <c r="J12" s="206" t="n"/>
      <c r="K12" s="206" t="n"/>
      <c r="L12" s="208" t="inlineStr">
        <is>
          <t>MULTIVAC México S.A. de C.V.</t>
        </is>
      </c>
      <c r="M12" s="206" t="n"/>
      <c r="N12" s="207" t="n"/>
      <c r="O12" s="3" t="n"/>
    </row>
    <row r="13" ht="31.5" customHeight="1">
      <c r="B13" s="161" t="inlineStr">
        <is>
          <t xml:space="preserve">Los siguientes textos se ponen unicamente como un ejemplo de la negociación y que sirva de guia; </t>
        </is>
      </c>
      <c r="L13" s="40" t="n"/>
      <c r="N13" s="41" t="n"/>
    </row>
    <row r="14" ht="15" customHeight="1">
      <c r="B14" s="163" t="inlineStr">
        <is>
          <t>Se consideran un despacho total de 7 contenedores anuales de 40 pies, con 4,536,000 metros lineales por cada contenedor.</t>
        </is>
      </c>
      <c r="L14" s="211" t="inlineStr">
        <is>
          <t>Nombre del Represetante de Ventas</t>
        </is>
      </c>
      <c r="N14" s="210" t="n"/>
      <c r="O14" s="76" t="n"/>
    </row>
    <row r="15">
      <c r="B15" s="164" t="inlineStr">
        <is>
          <t xml:space="preserve">Se requiere colocar el pedido y la programación de entregas anual. </t>
        </is>
      </c>
      <c r="L15" s="40" t="n"/>
      <c r="N15" s="41" t="n"/>
    </row>
    <row r="16" ht="33" customHeight="1">
      <c r="B16" s="163" t="inlineStr">
        <is>
          <t xml:space="preserve">Los precios se basan en los costos de las materias primas definidos en las Evaluaciones de contratos en euros de Platt (EUR / mt ) / Alemania / PP Copol valor más alto, y serán revisados y ajustados trimestralmente en el “Mes de Verificación”, sujeto a la evolución del precio de la materia prima. </t>
        </is>
      </c>
      <c r="L16" s="221" t="inlineStr">
        <is>
          <t>Correo electronico de representante de ventas</t>
        </is>
      </c>
      <c r="N16" s="210" t="n"/>
      <c r="O16" s="77" t="n"/>
    </row>
    <row r="17" ht="15" customHeight="1">
      <c r="B17" s="180" t="inlineStr">
        <is>
          <t>Primera revisión a realizar el 1 de agosto de 2021, y comparado con el punto de referencia considerado al preparar esta cotización.</t>
        </is>
      </c>
      <c r="L17" s="40" t="n"/>
      <c r="N17" s="41" t="n"/>
    </row>
    <row r="18" ht="30.75" customHeight="1">
      <c r="B18" s="178" t="inlineStr">
        <is>
          <t>La variación de este índice se toma como el promedio del índice de los tres meses anteriores. Si este cambio no supera el +/- 5% en comparación con este punto de referencia  o al valor actualizado anterior, el precio sigue siendo el mismo.</t>
        </is>
      </c>
      <c r="L18" s="222" t="inlineStr">
        <is>
          <t xml:space="preserve">Celular de Representante de Ventas </t>
        </is>
      </c>
      <c r="N18" s="210" t="n"/>
      <c r="O18" s="78" t="n"/>
    </row>
    <row r="19">
      <c r="B19" s="180" t="inlineStr">
        <is>
          <t>De lo contrario, el ajuste se aplica al mismo mes y será válido para nuevos Ordenes de Compra recibidas en ese  trimestre en curso.</t>
        </is>
      </c>
      <c r="L19" s="40" t="n"/>
      <c r="M19" s="185" t="n"/>
      <c r="N19" s="210" t="n"/>
    </row>
    <row r="20" ht="53.25" customHeight="1" thickBot="1">
      <c r="B20" s="182" t="inlineStr">
        <is>
          <t xml:space="preserve">Los precios son en (Indicar moneda eur o usd) no incluye el IVA y son con el INCOTERM que se indica en la cotización (Incoterms 2020), crédito de (Indicar los número de días), tiempo de entrega de (Indicar el número de semanas, de acuerdo al material y proveedor), una vez recibido su pedido por escrito. </t>
        </is>
      </c>
      <c r="C20" s="195" t="n"/>
      <c r="D20" s="195" t="n"/>
      <c r="E20" s="195" t="n"/>
      <c r="F20" s="195" t="n"/>
      <c r="G20" s="195" t="n"/>
      <c r="H20" s="195" t="n"/>
      <c r="I20" s="195" t="n"/>
      <c r="J20" s="195" t="n"/>
      <c r="K20" s="195" t="n"/>
      <c r="L20" s="57" t="n"/>
      <c r="M20" s="58" t="n"/>
      <c r="N20" s="42" t="n"/>
    </row>
    <row r="21" ht="28.5" customFormat="1" customHeight="1" s="50">
      <c r="B21" s="215" t="inlineStr">
        <is>
          <t xml:space="preserve">Consulte los términos y condiciones en la siguiente liga:  </t>
        </is>
      </c>
      <c r="C21" s="206" t="n"/>
      <c r="D21" s="206" t="n"/>
      <c r="E21" s="206" t="n"/>
      <c r="F21" s="206" t="n"/>
      <c r="G21" s="206" t="n"/>
      <c r="H21" s="206" t="n"/>
      <c r="I21" s="206" t="n"/>
      <c r="J21" s="206" t="n"/>
      <c r="K21" s="207" t="n"/>
      <c r="L21" s="88" t="n"/>
      <c r="M21" s="89" t="n"/>
      <c r="N21" s="90" t="n"/>
    </row>
    <row r="22" ht="28.5" customFormat="1" customHeight="1" s="50">
      <c r="B22" s="98" t="inlineStr">
        <is>
          <t>Terms and Conditions | MULTIVAC</t>
        </is>
      </c>
      <c r="C22" s="61" t="n"/>
      <c r="D22" s="61" t="n"/>
      <c r="E22" s="61" t="n"/>
      <c r="F22" s="61" t="n"/>
      <c r="G22" s="61" t="n"/>
      <c r="H22" s="61" t="n"/>
      <c r="I22" s="61" t="n"/>
      <c r="J22" s="61" t="n"/>
      <c r="K22" s="86" t="n"/>
      <c r="L22" s="91" t="n"/>
      <c r="M22" s="51" t="n"/>
      <c r="N22" s="52" t="n"/>
    </row>
    <row r="23" ht="51" customFormat="1" customHeight="1" s="50">
      <c r="B23" s="223" t="inlineStr">
        <is>
          <t xml:space="preserve">Derivado de la situación actual de las materias primas y a las considerables fluctuaciones de las mismas, nos reservamos el derecho de ajustar los precios.       Debido a los anuncios de "fuerza mayor" por parte de nuestros proveedores, nuestras entregas y fechas de entrega no son vinculantes con efecto inmediato. </t>
        </is>
      </c>
      <c r="K23" s="210" t="n"/>
      <c r="L23" s="91" t="n"/>
      <c r="M23" s="51" t="n"/>
      <c r="N23" s="52" t="n"/>
    </row>
    <row r="24" ht="28.5" customFormat="1" customHeight="1" s="50">
      <c r="B24" s="224" t="inlineStr">
        <is>
          <t>Esta oferta tendra una vigencia de 15 dias naturales.</t>
        </is>
      </c>
      <c r="K24" s="210" t="n"/>
      <c r="L24" s="169" t="n"/>
      <c r="N24" s="53" t="n"/>
    </row>
    <row r="25" ht="28.5" customFormat="1" customHeight="1" s="50" thickBot="1">
      <c r="B25" s="124" t="inlineStr">
        <is>
          <t>La presente cancela culquier cotización anterior.</t>
        </is>
      </c>
      <c r="C25" s="195" t="n"/>
      <c r="D25" s="195" t="n"/>
      <c r="E25" s="195" t="n"/>
      <c r="F25" s="195" t="n"/>
      <c r="G25" s="195" t="n"/>
      <c r="H25" s="195" t="n"/>
      <c r="I25" s="195" t="n"/>
      <c r="J25" s="54" t="n"/>
      <c r="K25" s="99" t="n"/>
      <c r="L25" s="92" t="n"/>
      <c r="M25" s="55" t="n"/>
      <c r="N25" s="56" t="n"/>
    </row>
    <row r="26" ht="15" customHeight="1">
      <c r="B26" s="35" t="n"/>
      <c r="C26" s="35" t="n"/>
      <c r="D26" s="35" t="n"/>
      <c r="E26" s="35" t="n"/>
      <c r="F26" s="35" t="n"/>
      <c r="G26" s="32" t="n"/>
      <c r="H26" s="35" t="n"/>
      <c r="I26" s="225" t="n"/>
      <c r="J26" s="226" t="n"/>
      <c r="K26" s="226" t="n"/>
      <c r="L26" s="226" t="n"/>
    </row>
    <row r="27" ht="15" customHeight="1">
      <c r="B27" s="36" t="n"/>
      <c r="C27" s="29" t="n"/>
      <c r="D27" s="30" t="n"/>
      <c r="E27" s="37" t="n"/>
      <c r="F27" s="31" t="n"/>
      <c r="G27" s="32" t="n"/>
      <c r="H27" s="31" t="n"/>
      <c r="I27" s="225" t="n"/>
      <c r="J27" s="226" t="n"/>
      <c r="K27" s="226" t="n"/>
      <c r="L27" s="226" t="n"/>
    </row>
    <row r="30"/>
  </sheetData>
  <mergeCells count="26">
    <mergeCell ref="B25:I25"/>
    <mergeCell ref="L18:N18"/>
    <mergeCell ref="L14:N14"/>
    <mergeCell ref="B1:D1"/>
    <mergeCell ref="B15:K15"/>
    <mergeCell ref="B24:K24"/>
    <mergeCell ref="B20:K20"/>
    <mergeCell ref="M11:N11"/>
    <mergeCell ref="B11:L11"/>
    <mergeCell ref="B16:K16"/>
    <mergeCell ref="L6:N6"/>
    <mergeCell ref="C7:K7"/>
    <mergeCell ref="M7:N7"/>
    <mergeCell ref="B18:K18"/>
    <mergeCell ref="B21:K21"/>
    <mergeCell ref="B12:K12"/>
    <mergeCell ref="L16:N16"/>
    <mergeCell ref="B23:K23"/>
    <mergeCell ref="B14:K14"/>
    <mergeCell ref="B17:K17"/>
    <mergeCell ref="B13:K13"/>
    <mergeCell ref="M5:O5"/>
    <mergeCell ref="M19:N19"/>
    <mergeCell ref="L12:N12"/>
    <mergeCell ref="M4:N4"/>
    <mergeCell ref="B19:K19"/>
  </mergeCells>
  <hyperlinks>
    <hyperlink xmlns:r="http://schemas.openxmlformats.org/officeDocument/2006/relationships" ref="B22" display="https://multivac.com/mx/es/excluded-from-navigation/terms-and-conditions" r:id="rId1"/>
  </hyperlinks>
  <pageMargins left="0.7" right="0.7" top="0.75" bottom="0.75" header="0.3" footer="0.3"/>
  <pageSetup orientation="landscape" scale="60" horizontalDpi="0" verticalDpi="0"/>
</worksheet>
</file>

<file path=xl/worksheets/sheet3.xml><?xml version="1.0" encoding="utf-8"?>
<worksheet xmlns="http://schemas.openxmlformats.org/spreadsheetml/2006/main">
  <sheetPr>
    <outlinePr summaryBelow="1" summaryRight="1"/>
    <pageSetUpPr/>
  </sheetPr>
  <dimension ref="B3:D7"/>
  <sheetViews>
    <sheetView workbookViewId="0">
      <selection activeCell="D6" sqref="D6"/>
    </sheetView>
  </sheetViews>
  <sheetFormatPr baseColWidth="10" defaultColWidth="10.796875" defaultRowHeight="14.25"/>
  <cols>
    <col width="6.265625" customWidth="1" style="84" min="2" max="2"/>
    <col width="15.73046875" bestFit="1" customWidth="1" min="3" max="3"/>
    <col width="15.46484375" customWidth="1" style="84" min="4" max="4"/>
  </cols>
  <sheetData>
    <row r="3" ht="16.5" customHeight="1">
      <c r="B3" s="84" t="n">
        <v>1</v>
      </c>
      <c r="C3" t="inlineStr">
        <is>
          <t xml:space="preserve">Andrea Esquivel </t>
        </is>
      </c>
      <c r="D3" s="43" t="inlineStr">
        <is>
          <t>AE-100-000</t>
        </is>
      </c>
    </row>
    <row r="4" ht="16.5" customHeight="1">
      <c r="B4" s="84" t="n">
        <v>2</v>
      </c>
      <c r="C4" t="inlineStr">
        <is>
          <t>Julia Alvarado</t>
        </is>
      </c>
      <c r="D4" s="43" t="inlineStr">
        <is>
          <t>JA-200-000</t>
        </is>
      </c>
    </row>
    <row r="5" ht="16.5" customHeight="1">
      <c r="B5" s="84" t="n">
        <v>3</v>
      </c>
      <c r="C5" t="inlineStr">
        <is>
          <t>Roberto Martinez</t>
        </is>
      </c>
      <c r="D5" s="43" t="inlineStr">
        <is>
          <t>RM-300-000</t>
        </is>
      </c>
    </row>
    <row r="6" ht="16.5" customHeight="1">
      <c r="B6" s="84" t="n">
        <v>4</v>
      </c>
      <c r="C6" t="inlineStr">
        <is>
          <t>Aldo Manzur</t>
        </is>
      </c>
      <c r="D6" s="43" t="inlineStr">
        <is>
          <t>AM-400-000</t>
        </is>
      </c>
    </row>
    <row r="7" ht="16.5" customHeight="1">
      <c r="B7" s="84" t="n">
        <v>5</v>
      </c>
      <c r="C7" t="inlineStr">
        <is>
          <t>Maharai Sanchez</t>
        </is>
      </c>
      <c r="D7" s="95" t="inlineStr">
        <is>
          <t>MS-500-000</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Rogelio Sosa</dc:creator>
  <dcterms:created xsi:type="dcterms:W3CDTF">2021-09-29T20:45:45Z</dcterms:created>
  <dcterms:modified xsi:type="dcterms:W3CDTF">2026-03-11T19:19:59Z</dcterms:modified>
  <cp:lastModifiedBy>Aldo Manzur</cp:lastModifiedBy>
  <cp:lastPrinted>2023-10-04T17:34:06Z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0x01010039AAAF081AA0CA42AD1F5C489BF8DC55</vt:lpwstr>
  </property>
</Properties>
</file>
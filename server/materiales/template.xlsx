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multivaccloud-my.sharepoint.com/personal/aldo_manzur_mx_multivac_com/Documents/Clientes AMC/AAA Aldo Manzur Total Clientes/Para compas/"/>
    </mc:Choice>
  </mc:AlternateContent>
  <xr:revisionPtr revIDLastSave="53" documentId="8_{2B65653E-A295-4142-A8FA-8E30653D03E1}" xr6:coauthVersionLast="47" xr6:coauthVersionMax="47" xr10:uidLastSave="{3AF74835-AE90-4E87-A59F-E2EF7A0EB912}"/>
  <bookViews>
    <workbookView xWindow="-98" yWindow="-98" windowWidth="20715" windowHeight="13155" xr2:uid="{00000000-000D-0000-FFFF-FFFF00000000}"/>
  </bookViews>
  <sheets>
    <sheet name="Fromato No. 1" sheetId="2" r:id="rId1"/>
    <sheet name="Formato No. 2" sheetId="1" r:id="rId2"/>
    <sheet name="Codigo de Vendedores " sheetId="3" r:id="rId3"/>
  </sheets>
  <definedNames>
    <definedName name="_xlnm.Print_Area" localSheetId="0">'Fromato No. 1'!$B$1:$N$41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1" i="2" l="1"/>
  <c r="S19" i="2"/>
  <c r="T19" i="2" s="1"/>
  <c r="U19" i="2" s="1"/>
  <c r="S23" i="2"/>
  <c r="T23" i="2" s="1"/>
  <c r="U23" i="2" s="1"/>
  <c r="S15" i="2"/>
  <c r="T15" i="2" s="1"/>
  <c r="U15" i="2" s="1"/>
  <c r="S11" i="2"/>
  <c r="T11" i="2" s="1"/>
  <c r="W15" i="2" l="1"/>
  <c r="W11" i="2"/>
  <c r="W23" i="2"/>
  <c r="W19" i="2"/>
  <c r="V19" i="2"/>
  <c r="M19" i="2" s="1"/>
  <c r="V23" i="2"/>
  <c r="M23" i="2" s="1"/>
  <c r="V11" i="2"/>
  <c r="M11" i="2" s="1"/>
  <c r="V15" i="2" l="1"/>
  <c r="M15" i="2" s="1"/>
  <c r="K19" i="2"/>
  <c r="L19" i="2" s="1"/>
  <c r="K15" i="2"/>
  <c r="L15" i="2" s="1"/>
  <c r="K23" i="2"/>
  <c r="L23" i="2" s="1"/>
  <c r="K11" i="2"/>
  <c r="L11" i="2" s="1"/>
</calcChain>
</file>

<file path=xl/sharedStrings.xml><?xml version="1.0" encoding="utf-8"?>
<sst xmlns="http://schemas.openxmlformats.org/spreadsheetml/2006/main" count="144" uniqueCount="102">
  <si>
    <t>Código:</t>
  </si>
  <si>
    <t>MUMX-F-ME-003</t>
  </si>
  <si>
    <t xml:space="preserve">CLIENTE </t>
  </si>
  <si>
    <t xml:space="preserve">Material </t>
  </si>
  <si>
    <t>Espesor (micras)</t>
  </si>
  <si>
    <t>Ancho (mm)</t>
  </si>
  <si>
    <t>Rollo (mts)</t>
  </si>
  <si>
    <t>Metros por Palet</t>
  </si>
  <si>
    <t xml:space="preserve">Rollos por Pallet   </t>
  </si>
  <si>
    <t>Dimensiones de Pallet    (mm)</t>
  </si>
  <si>
    <t>Pedido Mínimo (mts/Tns)</t>
  </si>
  <si>
    <t>TERMINOS DE VENTA</t>
  </si>
  <si>
    <t xml:space="preserve">Se requiere colocar el pedido y la programación de entregas anual. </t>
  </si>
  <si>
    <t>De lo contrario, el ajuste se aplica al mismo mes y será válido para nuevos Ordenes de Compra recibidas en ese  trimestre en curso.</t>
  </si>
  <si>
    <t>Página:        1</t>
  </si>
  <si>
    <t>Fecha:</t>
  </si>
  <si>
    <t>Estructura</t>
  </si>
  <si>
    <t xml:space="preserve">Tapa / Fondo </t>
  </si>
  <si>
    <t>Linea/Producto</t>
  </si>
  <si>
    <t xml:space="preserve">Descripción del Material </t>
  </si>
  <si>
    <t>Ancho       (mm)</t>
  </si>
  <si>
    <t>Longitud de bobina (m)</t>
  </si>
  <si>
    <t>MULTIVAC México S.A. de C.V.</t>
  </si>
  <si>
    <t>Consulte los términos y condiciones en la siguiente liga:</t>
  </si>
  <si>
    <t>FECHA</t>
  </si>
  <si>
    <t>Peso de Pallet       (kg)</t>
  </si>
  <si>
    <t>Diámetro Externo (mm/rollo)</t>
  </si>
  <si>
    <t>La presente cancela culquier cotización anterior.</t>
  </si>
  <si>
    <t>Se consideran un despacho total de 7 contenedores anuales de 40 pies, con 4,536,000 metros lineales por cada contenedor.</t>
  </si>
  <si>
    <t>Primera revisión a realizar el 1 de agosto de 2021, y comparado con el punto de referencia considerado al preparar esta cotización.</t>
  </si>
  <si>
    <t>La variación de este índice se toma como el promedio del índice de los tres meses anteriores. Si este cambio no supera el +/- 5% en comparación con este punto de referencia  o al valor actualizado anterior, el precio sigue siendo el mismo.</t>
  </si>
  <si>
    <t xml:space="preserve">Los precios se basan en los costos de las materias primas definidos en las Evaluaciones de contratos en euros de Platt (EUR / mt ) / Alemania / PP Copol valor más alto, y serán revisados y ajustados trimestralmente en el “Mes de Verificación”, sujeto a la evolución del precio de la materia prima. </t>
  </si>
  <si>
    <t>Esta oferta tendra una vigencia de 15 dias naturales.</t>
  </si>
  <si>
    <t xml:space="preserve">Consulte los términos y condiciones en la siguiente liga:  </t>
  </si>
  <si>
    <t>Volumen anual proyectado (mts)</t>
  </si>
  <si>
    <t>Escala cotizada      (mts)</t>
  </si>
  <si>
    <t>XXX</t>
  </si>
  <si>
    <t>Nombre del Represetante de Ventas</t>
  </si>
  <si>
    <t xml:space="preserve">Celular de Representante de Ventas </t>
  </si>
  <si>
    <t>COT: No. consecutivo de Rep. Vtas</t>
  </si>
  <si>
    <t>La presente cancela cualquier cotización anterior y los precios son vigentes durante un periodo de 15 días.</t>
  </si>
  <si>
    <r>
      <t>Notas: Los precios anteriores corresponde para un contrato de consumo por un total de anual, por la cantida de (</t>
    </r>
    <r>
      <rPr>
        <b/>
        <u/>
        <sz val="11"/>
        <color theme="1"/>
        <rFont val="Segoe UI"/>
        <family val="2"/>
      </rPr>
      <t xml:space="preserve">Indicar la cantidad en Mts y/o Kilos </t>
    </r>
    <r>
      <rPr>
        <b/>
        <sz val="11"/>
        <color theme="1"/>
        <rFont val="Segoe UI"/>
        <family val="2"/>
      </rPr>
      <t>como pedido minímo</t>
    </r>
    <r>
      <rPr>
        <sz val="11"/>
        <color theme="1"/>
        <rFont val="Segoe UI"/>
        <family val="2"/>
      </rPr>
      <t>).</t>
    </r>
  </si>
  <si>
    <t xml:space="preserve">Los siguientes textos se ponen unicamente como un ejemplo de la negociación y que sirva de guia; </t>
  </si>
  <si>
    <r>
      <t>Los precios son en (</t>
    </r>
    <r>
      <rPr>
        <b/>
        <u/>
        <sz val="11"/>
        <color theme="1"/>
        <rFont val="Segoe UI"/>
        <family val="2"/>
      </rPr>
      <t>Indicar moneda eur o usd</t>
    </r>
    <r>
      <rPr>
        <sz val="11"/>
        <color theme="1"/>
        <rFont val="Segoe UI"/>
        <family val="2"/>
      </rPr>
      <t>) no incluye el IVA y son con el INCOTERM que se indica en la cotización (Incoterms 2020), crédito de (</t>
    </r>
    <r>
      <rPr>
        <b/>
        <sz val="11"/>
        <color theme="1"/>
        <rFont val="Segoe UI"/>
        <family val="2"/>
      </rPr>
      <t>Indicar los número de días</t>
    </r>
    <r>
      <rPr>
        <sz val="11"/>
        <color theme="1"/>
        <rFont val="Segoe UI"/>
        <family val="2"/>
      </rPr>
      <t>), tiempo de entrega de (</t>
    </r>
    <r>
      <rPr>
        <b/>
        <u/>
        <sz val="11"/>
        <color theme="1"/>
        <rFont val="Segoe UI"/>
        <family val="2"/>
      </rPr>
      <t>Indicar el número de semanas, de acuerdo al material y proveedor</t>
    </r>
    <r>
      <rPr>
        <sz val="11"/>
        <color theme="1"/>
        <rFont val="Segoe UI"/>
        <family val="2"/>
      </rPr>
      <t xml:space="preserve">), una vez recibido su pedido por escrito. </t>
    </r>
  </si>
  <si>
    <t xml:space="preserve">Derivado de la situación actual de las materias primas y a las considerables fluctuaciones de las mismas, nos reservamos el derecho de ajustar los precios.       Debido a los anuncios de "fuerza mayor" por parte de nuestros proveedores, nuestras entregas y fechas de entrega no son vinculantes con efecto inmediato. </t>
  </si>
  <si>
    <t xml:space="preserve">Derivado de la situación actual de las materias primas y a las considerables fluctuaciones de las mismas, nos reservamos el derecho de ajustar los precios.                            Debido a los anuncios de "fuerza mayor" por parte de nuestros proveedores, nuestras entregas y fechas de entrega no son vinculantes con efecto inmediato. </t>
  </si>
  <si>
    <t>xx</t>
  </si>
  <si>
    <t>Precio Km. (eur/usd)</t>
  </si>
  <si>
    <t>Precio Ton. (eur/usd)</t>
  </si>
  <si>
    <t xml:space="preserve">INDICAR FECHA </t>
  </si>
  <si>
    <t>AE-100-000</t>
  </si>
  <si>
    <t>JA-200-000</t>
  </si>
  <si>
    <t>RM-300-000</t>
  </si>
  <si>
    <t>AM-400-000</t>
  </si>
  <si>
    <t xml:space="preserve">Andrea Esquivel </t>
  </si>
  <si>
    <t>Julia Alvarado</t>
  </si>
  <si>
    <t>Roberto Martinez</t>
  </si>
  <si>
    <t>Aldo Manzur</t>
  </si>
  <si>
    <t>Correo electronico de representante de ventas</t>
  </si>
  <si>
    <t>INCOTERM</t>
  </si>
  <si>
    <t>MS-500-000</t>
  </si>
  <si>
    <t>Maharai Sanchez</t>
  </si>
  <si>
    <t>Versión:      03</t>
  </si>
  <si>
    <t>Terms and Conditions | MULTIVAC</t>
  </si>
  <si>
    <t>Aldo Manzur Coronel</t>
  </si>
  <si>
    <t>aldo.manzur@mx.multivac.com</t>
  </si>
  <si>
    <t>Celular 55 3232 7977</t>
  </si>
  <si>
    <t>TAPA</t>
  </si>
  <si>
    <t>Material coextruido y laminado no termoformable,</t>
  </si>
  <si>
    <t>NA</t>
  </si>
  <si>
    <t>diseñado para altas velocidades, alta barrera, para empaque</t>
  </si>
  <si>
    <t>ml en 100 m2</t>
  </si>
  <si>
    <t>Precio Km (Usd)</t>
  </si>
  <si>
    <t>Precio por bobina (Usd)</t>
  </si>
  <si>
    <t>TBD</t>
  </si>
  <si>
    <t>Carne Procesada</t>
  </si>
  <si>
    <t>al alto vacío o MAP, sello hermético 2.8 mil de espesor</t>
  </si>
  <si>
    <t>FONDO</t>
  </si>
  <si>
    <t>Material coextruido y laminado, termoformable,</t>
  </si>
  <si>
    <t xml:space="preserve">AMILEN MLX 70 </t>
  </si>
  <si>
    <t>Transparente</t>
  </si>
  <si>
    <t>Flexible PA/EVOH/PE</t>
  </si>
  <si>
    <t>diseñado para altas velocidades, mediana barrera, para empaque</t>
  </si>
  <si>
    <t>Alta barrera</t>
  </si>
  <si>
    <t>Mediana barrera</t>
  </si>
  <si>
    <t>Precio millar de impresión  (USD)</t>
  </si>
  <si>
    <t>Precio metro (USD)</t>
  </si>
  <si>
    <t>Precio bobina (USD)</t>
  </si>
  <si>
    <t>Precio Km (USD)</t>
  </si>
  <si>
    <t>19 de Enero de 2026</t>
  </si>
  <si>
    <t xml:space="preserve">AMILEN ML 70 </t>
  </si>
  <si>
    <t>PA/PE</t>
  </si>
  <si>
    <t xml:space="preserve">AMILEN MLX 150 </t>
  </si>
  <si>
    <t>al alto vacío o MAP, sello hermético 5.9 mil de espesor</t>
  </si>
  <si>
    <t xml:space="preserve">AMILEN ML 150 </t>
  </si>
  <si>
    <t>Compañía Carnes LP</t>
  </si>
  <si>
    <t>Attn: Juan Pérez</t>
  </si>
  <si>
    <t>Precio material por 100 m2 (USD)</t>
  </si>
  <si>
    <t>Precio material por ml (USD)</t>
  </si>
  <si>
    <t>Utilidad extra % (Usd)</t>
  </si>
  <si>
    <r>
      <t xml:space="preserve">al alto vacío o MAP, </t>
    </r>
    <r>
      <rPr>
        <sz val="11"/>
        <color theme="5" tint="-0.249977111117893"/>
        <rFont val="Segoe UI"/>
        <family val="2"/>
      </rPr>
      <t>sello hermético 2.8 mil</t>
    </r>
    <r>
      <rPr>
        <sz val="11"/>
        <rFont val="Segoe UI"/>
        <family val="2"/>
      </rPr>
      <t xml:space="preserve"> de espesor</t>
    </r>
  </si>
  <si>
    <r>
      <rPr>
        <sz val="10"/>
        <rFont val="Segoe UI"/>
        <family val="2"/>
      </rPr>
      <t xml:space="preserve">Los precios anteriores son en </t>
    </r>
    <r>
      <rPr>
        <u/>
        <sz val="10"/>
        <rFont val="Segoe UI"/>
        <family val="2"/>
      </rPr>
      <t>(</t>
    </r>
    <r>
      <rPr>
        <b/>
        <u/>
        <sz val="10"/>
        <rFont val="Segoe UI"/>
        <family val="2"/>
      </rPr>
      <t>USD´s</t>
    </r>
    <r>
      <rPr>
        <b/>
        <sz val="10"/>
        <rFont val="Segoe UI"/>
        <family val="2"/>
      </rPr>
      <t>)</t>
    </r>
    <r>
      <rPr>
        <sz val="10"/>
        <rFont val="Segoe UI"/>
        <family val="2"/>
      </rPr>
      <t>, al tipo de cambio del día de la facturación, no incluye el IVA y son (</t>
    </r>
    <r>
      <rPr>
        <b/>
        <u/>
        <sz val="10"/>
        <rFont val="Segoe UI"/>
        <family val="2"/>
      </rPr>
      <t>DDP</t>
    </r>
    <r>
      <rPr>
        <sz val="10"/>
        <rFont val="Segoe UI"/>
        <family val="2"/>
      </rPr>
      <t xml:space="preserve">), crédito </t>
    </r>
    <r>
      <rPr>
        <u/>
        <sz val="10"/>
        <rFont val="Segoe UI"/>
        <family val="2"/>
      </rPr>
      <t>(</t>
    </r>
    <r>
      <rPr>
        <b/>
        <u/>
        <sz val="10"/>
        <rFont val="Segoe UI"/>
        <family val="2"/>
      </rPr>
      <t>Por definir</t>
    </r>
    <r>
      <rPr>
        <sz val="10"/>
        <rFont val="Segoe UI"/>
        <family val="2"/>
      </rPr>
      <t>). El tiempo de entrega es de (</t>
    </r>
    <r>
      <rPr>
        <b/>
        <u/>
        <sz val="10"/>
        <color theme="5" tint="-0.249977111117893"/>
        <rFont val="Segoe UI"/>
        <family val="2"/>
      </rPr>
      <t>12 semanas</t>
    </r>
    <r>
      <rPr>
        <b/>
        <u/>
        <sz val="10"/>
        <rFont val="Segoe UI"/>
        <family val="2"/>
      </rPr>
      <t>)</t>
    </r>
    <r>
      <rPr>
        <sz val="10"/>
        <rFont val="Segoe UI"/>
        <family val="2"/>
      </rPr>
      <t xml:space="preserve">.    </t>
    </r>
    <r>
      <rPr>
        <sz val="11"/>
        <rFont val="Segoe UI"/>
        <family val="2"/>
      </rPr>
      <t xml:space="preserve">                        </t>
    </r>
    <r>
      <rPr>
        <b/>
        <sz val="11"/>
        <rFont val="Segoe UI"/>
        <family val="2"/>
      </rPr>
      <t xml:space="preserve"> </t>
    </r>
    <r>
      <rPr>
        <sz val="11"/>
        <rFont val="Segoe UI"/>
        <family val="2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</si>
</sst>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.00_-;\-* #,##0.00_-;_-* &quot;-&quot;??_-;_-@_-"/>
    <numFmt numFmtId="165" formatCode="_-&quot;$&quot;* #,##0.00_-;\-&quot;$&quot;* #,##0.00_-;_-&quot;$&quot;* &quot;-&quot;??_-;_-@_-"/>
    <numFmt numFmtId="166" formatCode="_-* #,##0.00\ [$€-C0A]_-;\-* #,##0.00\ [$€-C0A]_-;_-* &quot;-&quot;??\ [$€-C0A]_-;_-@_-"/>
    <numFmt numFmtId="167" formatCode="_-[$$-409]* #,##0.0000_ ;_-[$$-409]* \-#,##0.0000\ ;_-[$$-409]* &quot;-&quot;??_ ;_-@_ "/>
    <numFmt numFmtId="168" formatCode="_-[$$-409]* #,##0.00_ ;_-[$$-409]* \-#,##0.00\ ;_-[$$-409]* &quot;-&quot;??_ ;_-@_ "/>
    <numFmt numFmtId="169" formatCode="_-[$$-409]* #,##0.000_ ;_-[$$-409]* \-#,##0.000\ ;_-[$$-409]* &quot;-&quot;??_ ;_-@_ "/>
  </numFmts>
  <fonts count="47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9"/>
      <color theme="1"/>
      <name val="Segoe UI"/>
      <family val="2"/>
    </font>
    <font>
      <b/>
      <sz val="11"/>
      <color indexed="9"/>
      <name val="Segoe UI"/>
      <family val="2"/>
    </font>
    <font>
      <u/>
      <sz val="10"/>
      <color indexed="12"/>
      <name val="Arial"/>
      <family val="2"/>
    </font>
    <font>
      <sz val="10"/>
      <color theme="1"/>
      <name val="Segoe UI"/>
      <family val="2"/>
    </font>
    <font>
      <i/>
      <sz val="10"/>
      <name val="Segoe UI"/>
      <family val="2"/>
    </font>
    <font>
      <b/>
      <sz val="10"/>
      <color theme="1"/>
      <name val="Segoe UI"/>
      <family val="2"/>
    </font>
    <font>
      <b/>
      <sz val="11"/>
      <name val="Segoe UI"/>
      <family val="2"/>
    </font>
    <font>
      <sz val="10"/>
      <name val="Arial"/>
      <family val="2"/>
    </font>
    <font>
      <b/>
      <sz val="9"/>
      <color rgb="FFFF0000"/>
      <name val="Segoe UI"/>
      <family val="2"/>
    </font>
    <font>
      <b/>
      <sz val="12"/>
      <color indexed="9"/>
      <name val="Segoe UI"/>
      <family val="2"/>
    </font>
    <font>
      <b/>
      <sz val="13"/>
      <color indexed="9"/>
      <name val="Segoe UI"/>
      <family val="2"/>
    </font>
    <font>
      <sz val="10"/>
      <name val="Segoe UI"/>
      <family val="2"/>
    </font>
    <font>
      <sz val="11"/>
      <name val="Segoe UI"/>
      <family val="2"/>
    </font>
    <font>
      <i/>
      <sz val="11"/>
      <name val="Segoe UI"/>
      <family val="2"/>
    </font>
    <font>
      <u/>
      <sz val="11"/>
      <color indexed="12"/>
      <name val="Segoe UI"/>
      <family val="2"/>
    </font>
    <font>
      <sz val="9"/>
      <color theme="1" tint="4.9989318521683403E-2"/>
      <name val="Segoe UI"/>
      <family val="2"/>
    </font>
    <font>
      <sz val="18"/>
      <name val="Segoe UI"/>
      <family val="2"/>
    </font>
    <font>
      <b/>
      <sz val="18"/>
      <color theme="2" tint="-0.749992370372631"/>
      <name val="Segoe UI"/>
      <family val="2"/>
    </font>
    <font>
      <sz val="14"/>
      <color theme="1" tint="4.9989318521683403E-2"/>
      <name val="Segoe UI"/>
      <family val="2"/>
    </font>
    <font>
      <sz val="10"/>
      <color theme="1" tint="4.9989318521683403E-2"/>
      <name val="Segoe UI"/>
      <family val="2"/>
    </font>
    <font>
      <sz val="11"/>
      <color theme="1" tint="4.9989318521683403E-2"/>
      <name val="Segoe UI"/>
      <family val="2"/>
    </font>
    <font>
      <sz val="14"/>
      <color theme="1"/>
      <name val="Segoe UI"/>
      <family val="2"/>
    </font>
    <font>
      <sz val="11"/>
      <color theme="1"/>
      <name val="Segoe UI"/>
      <family val="2"/>
    </font>
    <font>
      <b/>
      <sz val="10"/>
      <color indexed="8"/>
      <name val="Segoe UI"/>
      <family val="2"/>
    </font>
    <font>
      <b/>
      <sz val="14"/>
      <color indexed="48"/>
      <name val="Segoe UI"/>
      <family val="2"/>
    </font>
    <font>
      <b/>
      <sz val="11"/>
      <color theme="1"/>
      <name val="Segoe UI"/>
      <family val="2"/>
    </font>
    <font>
      <b/>
      <sz val="10"/>
      <color indexed="9"/>
      <name val="Segoe UI"/>
      <family val="2"/>
    </font>
    <font>
      <u/>
      <sz val="10"/>
      <color indexed="12"/>
      <name val="Segoe UI"/>
      <family val="2"/>
    </font>
    <font>
      <sz val="9"/>
      <name val="Segoe UI"/>
      <family val="2"/>
    </font>
    <font>
      <sz val="12"/>
      <color theme="1"/>
      <name val="Segoe UI"/>
      <family val="2"/>
    </font>
    <font>
      <b/>
      <sz val="10"/>
      <name val="Segoe UI"/>
      <family val="2"/>
    </font>
    <font>
      <b/>
      <u/>
      <sz val="10"/>
      <name val="Segoe UI"/>
      <family val="2"/>
    </font>
    <font>
      <u/>
      <sz val="10"/>
      <name val="Segoe UI"/>
      <family val="2"/>
    </font>
    <font>
      <b/>
      <sz val="12"/>
      <color theme="1"/>
      <name val="Segoe UI"/>
      <family val="2"/>
    </font>
    <font>
      <b/>
      <sz val="16"/>
      <name val="Segoe UI"/>
      <family val="2"/>
    </font>
    <font>
      <b/>
      <sz val="16"/>
      <color theme="2" tint="-0.749992370372631"/>
      <name val="Segoe UI"/>
      <family val="2"/>
    </font>
    <font>
      <b/>
      <u/>
      <sz val="11"/>
      <color theme="1"/>
      <name val="Segoe UI"/>
      <family val="2"/>
    </font>
    <font>
      <b/>
      <sz val="10"/>
      <color rgb="FF000000"/>
      <name val="Arial"/>
      <family val="2"/>
    </font>
    <font>
      <sz val="11"/>
      <color theme="1"/>
      <name val="Times New Roman"/>
      <family val="1"/>
    </font>
    <font>
      <b/>
      <sz val="12"/>
      <color theme="5" tint="-0.249977111117893"/>
      <name val="Segoe UI"/>
      <family val="2"/>
    </font>
    <font>
      <b/>
      <sz val="13"/>
      <color theme="5" tint="-0.249977111117893"/>
      <name val="Segoe UI"/>
      <family val="2"/>
    </font>
    <font>
      <sz val="11"/>
      <color theme="5" tint="-0.249977111117893"/>
      <name val="Segoe UI"/>
      <family val="2"/>
    </font>
    <font>
      <sz val="11"/>
      <color theme="5" tint="-0.249977111117893"/>
      <name val="Times New Roman"/>
      <family val="1"/>
    </font>
    <font>
      <sz val="10"/>
      <color theme="5" tint="-0.249977111117893"/>
      <name val="Arial"/>
      <family val="2"/>
    </font>
    <font>
      <b/>
      <u/>
      <sz val="10"/>
      <color theme="5" tint="-0.249977111117893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34998626667073579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8" tint="-0.499984740745262"/>
      </left>
      <right/>
      <top/>
      <bottom/>
      <diagonal/>
    </border>
    <border>
      <left/>
      <right style="medium">
        <color theme="8" tint="-0.499984740745262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8">
    <xf numFmtId="0" fontId="0" fillId="0" borderId="0"/>
    <xf numFmtId="164" fontId="1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9" fillId="0" borderId="0"/>
    <xf numFmtId="165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195">
    <xf numFmtId="0" fontId="0" fillId="0" borderId="0" xfId="0"/>
    <xf numFmtId="0" fontId="2" fillId="2" borderId="0" xfId="0" quotePrefix="1" applyFont="1" applyFill="1" applyAlignment="1">
      <alignment horizontal="center" vertical="center" wrapText="1"/>
    </xf>
    <xf numFmtId="0" fontId="2" fillId="2" borderId="0" xfId="0" applyFont="1" applyFill="1" applyAlignment="1">
      <alignment vertical="center" wrapText="1"/>
    </xf>
    <xf numFmtId="0" fontId="14" fillId="2" borderId="0" xfId="0" applyFont="1" applyFill="1"/>
    <xf numFmtId="0" fontId="16" fillId="2" borderId="0" xfId="2" applyFont="1" applyFill="1" applyBorder="1" applyAlignment="1" applyProtection="1"/>
    <xf numFmtId="0" fontId="14" fillId="2" borderId="0" xfId="0" applyFont="1" applyFill="1" applyAlignment="1">
      <alignment vertical="center"/>
    </xf>
    <xf numFmtId="0" fontId="17" fillId="2" borderId="0" xfId="0" applyFont="1" applyFill="1" applyAlignment="1">
      <alignment horizontal="left" vertical="center" wrapText="1"/>
    </xf>
    <xf numFmtId="0" fontId="17" fillId="2" borderId="0" xfId="0" quotePrefix="1" applyFont="1" applyFill="1" applyAlignment="1">
      <alignment horizontal="center" vertical="center" wrapText="1"/>
    </xf>
    <xf numFmtId="0" fontId="17" fillId="2" borderId="0" xfId="0" applyFont="1" applyFill="1" applyAlignment="1">
      <alignment vertical="center" wrapText="1"/>
    </xf>
    <xf numFmtId="0" fontId="17" fillId="2" borderId="0" xfId="0" applyFont="1" applyFill="1" applyAlignment="1">
      <alignment horizontal="right" vertical="center" wrapText="1"/>
    </xf>
    <xf numFmtId="0" fontId="17" fillId="2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right" wrapText="1" indent="5"/>
    </xf>
    <xf numFmtId="0" fontId="13" fillId="2" borderId="0" xfId="3" applyFont="1" applyFill="1"/>
    <xf numFmtId="0" fontId="18" fillId="2" borderId="0" xfId="3" applyFont="1" applyFill="1"/>
    <xf numFmtId="0" fontId="19" fillId="2" borderId="0" xfId="0" applyFont="1" applyFill="1"/>
    <xf numFmtId="0" fontId="20" fillId="2" borderId="0" xfId="0" applyFont="1" applyFill="1"/>
    <xf numFmtId="0" fontId="21" fillId="2" borderId="0" xfId="3" applyFont="1" applyFill="1"/>
    <xf numFmtId="0" fontId="22" fillId="2" borderId="0" xfId="0" applyFont="1" applyFill="1"/>
    <xf numFmtId="0" fontId="23" fillId="2" borderId="0" xfId="0" applyFont="1" applyFill="1" applyAlignment="1">
      <alignment horizontal="right" wrapText="1" indent="5"/>
    </xf>
    <xf numFmtId="0" fontId="23" fillId="2" borderId="0" xfId="0" applyFont="1" applyFill="1"/>
    <xf numFmtId="0" fontId="24" fillId="2" borderId="0" xfId="0" applyFont="1" applyFill="1"/>
    <xf numFmtId="0" fontId="25" fillId="2" borderId="0" xfId="3" applyFont="1" applyFill="1" applyAlignment="1">
      <alignment horizontal="center" wrapText="1"/>
    </xf>
    <xf numFmtId="0" fontId="13" fillId="2" borderId="0" xfId="3" applyFont="1" applyFill="1" applyAlignment="1">
      <alignment wrapText="1"/>
    </xf>
    <xf numFmtId="164" fontId="13" fillId="2" borderId="0" xfId="3" applyNumberFormat="1" applyFont="1" applyFill="1"/>
    <xf numFmtId="0" fontId="16" fillId="2" borderId="0" xfId="2" applyFont="1" applyFill="1" applyBorder="1" applyAlignment="1" applyProtection="1">
      <alignment horizontal="center"/>
    </xf>
    <xf numFmtId="0" fontId="13" fillId="2" borderId="2" xfId="3" applyFont="1" applyFill="1" applyBorder="1"/>
    <xf numFmtId="0" fontId="13" fillId="2" borderId="3" xfId="3" applyFont="1" applyFill="1" applyBorder="1"/>
    <xf numFmtId="0" fontId="13" fillId="2" borderId="5" xfId="3" applyFont="1" applyFill="1" applyBorder="1"/>
    <xf numFmtId="0" fontId="16" fillId="2" borderId="5" xfId="2" applyFont="1" applyFill="1" applyBorder="1" applyAlignment="1" applyProtection="1">
      <alignment horizontal="center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/>
    </xf>
    <xf numFmtId="3" fontId="5" fillId="2" borderId="0" xfId="0" applyNumberFormat="1" applyFont="1" applyFill="1" applyAlignment="1">
      <alignment horizontal="center"/>
    </xf>
    <xf numFmtId="167" fontId="5" fillId="2" borderId="0" xfId="0" applyNumberFormat="1" applyFont="1" applyFill="1" applyAlignment="1">
      <alignment horizontal="center"/>
    </xf>
    <xf numFmtId="168" fontId="5" fillId="2" borderId="0" xfId="0" applyNumberFormat="1" applyFont="1" applyFill="1" applyAlignment="1">
      <alignment horizontal="center"/>
    </xf>
    <xf numFmtId="0" fontId="5" fillId="2" borderId="0" xfId="0" applyFont="1" applyFill="1" applyAlignment="1">
      <alignment vertical="center" wrapText="1"/>
    </xf>
    <xf numFmtId="0" fontId="6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/>
    </xf>
    <xf numFmtId="0" fontId="26" fillId="2" borderId="0" xfId="0" applyFont="1" applyFill="1"/>
    <xf numFmtId="0" fontId="23" fillId="2" borderId="0" xfId="0" applyFont="1" applyFill="1" applyAlignment="1">
      <alignment horizontal="center"/>
    </xf>
    <xf numFmtId="0" fontId="24" fillId="2" borderId="4" xfId="0" applyFont="1" applyFill="1" applyBorder="1"/>
    <xf numFmtId="0" fontId="24" fillId="2" borderId="5" xfId="0" applyFont="1" applyFill="1" applyBorder="1"/>
    <xf numFmtId="0" fontId="24" fillId="2" borderId="3" xfId="0" applyFont="1" applyFill="1" applyBorder="1"/>
    <xf numFmtId="0" fontId="24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15" fontId="3" fillId="2" borderId="0" xfId="0" applyNumberFormat="1" applyFont="1" applyFill="1" applyAlignment="1">
      <alignment horizontal="center" vertical="center" wrapText="1"/>
    </xf>
    <xf numFmtId="0" fontId="31" fillId="2" borderId="0" xfId="0" applyFont="1" applyFill="1"/>
    <xf numFmtId="0" fontId="16" fillId="2" borderId="7" xfId="2" applyFont="1" applyFill="1" applyBorder="1" applyAlignment="1" applyProtection="1">
      <alignment horizontal="center"/>
    </xf>
    <xf numFmtId="0" fontId="16" fillId="2" borderId="8" xfId="2" applyFont="1" applyFill="1" applyBorder="1" applyAlignment="1" applyProtection="1">
      <alignment horizontal="center"/>
    </xf>
    <xf numFmtId="0" fontId="24" fillId="2" borderId="0" xfId="0" applyFont="1" applyFill="1" applyAlignment="1">
      <alignment horizontal="left" vertical="center" indent="1"/>
    </xf>
    <xf numFmtId="0" fontId="30" fillId="2" borderId="0" xfId="0" applyFont="1" applyFill="1" applyAlignment="1">
      <alignment horizontal="left" vertical="center" indent="1"/>
    </xf>
    <xf numFmtId="0" fontId="30" fillId="2" borderId="5" xfId="0" applyFont="1" applyFill="1" applyBorder="1" applyAlignment="1">
      <alignment horizontal="left" vertical="center" indent="1"/>
    </xf>
    <xf numFmtId="0" fontId="24" fillId="2" borderId="5" xfId="0" applyFont="1" applyFill="1" applyBorder="1" applyAlignment="1">
      <alignment horizontal="left" vertical="center" indent="1"/>
    </xf>
    <xf numFmtId="0" fontId="13" fillId="2" borderId="2" xfId="3" applyFont="1" applyFill="1" applyBorder="1" applyAlignment="1">
      <alignment horizontal="left" vertical="center" indent="1"/>
    </xf>
    <xf numFmtId="0" fontId="24" fillId="2" borderId="2" xfId="0" applyFont="1" applyFill="1" applyBorder="1" applyAlignment="1">
      <alignment horizontal="left" vertical="center" indent="1"/>
    </xf>
    <xf numFmtId="0" fontId="24" fillId="2" borderId="3" xfId="0" applyFont="1" applyFill="1" applyBorder="1" applyAlignment="1">
      <alignment horizontal="left" vertical="center" indent="1"/>
    </xf>
    <xf numFmtId="0" fontId="24" fillId="2" borderId="1" xfId="0" applyFont="1" applyFill="1" applyBorder="1"/>
    <xf numFmtId="0" fontId="24" fillId="2" borderId="2" xfId="0" applyFont="1" applyFill="1" applyBorder="1"/>
    <xf numFmtId="0" fontId="8" fillId="2" borderId="2" xfId="3" applyFont="1" applyFill="1" applyBorder="1" applyAlignment="1">
      <alignment horizontal="left" vertical="center" wrapText="1" indent="1"/>
    </xf>
    <xf numFmtId="0" fontId="14" fillId="2" borderId="7" xfId="3" applyFont="1" applyFill="1" applyBorder="1" applyAlignment="1">
      <alignment horizontal="left" vertical="center" indent="1"/>
    </xf>
    <xf numFmtId="0" fontId="14" fillId="2" borderId="0" xfId="3" applyFont="1" applyFill="1" applyAlignment="1">
      <alignment horizontal="left" vertical="center" indent="1"/>
    </xf>
    <xf numFmtId="0" fontId="3" fillId="2" borderId="2" xfId="3" applyFont="1" applyFill="1" applyBorder="1" applyAlignment="1">
      <alignment horizontal="center"/>
    </xf>
    <xf numFmtId="0" fontId="3" fillId="2" borderId="15" xfId="3" applyFont="1" applyFill="1" applyBorder="1" applyAlignment="1">
      <alignment horizontal="center"/>
    </xf>
    <xf numFmtId="0" fontId="35" fillId="2" borderId="0" xfId="0" applyFont="1" applyFill="1" applyAlignment="1">
      <alignment wrapText="1"/>
    </xf>
    <xf numFmtId="0" fontId="36" fillId="2" borderId="0" xfId="0" applyFont="1" applyFill="1"/>
    <xf numFmtId="0" fontId="37" fillId="2" borderId="0" xfId="0" applyFont="1" applyFill="1"/>
    <xf numFmtId="0" fontId="24" fillId="2" borderId="0" xfId="0" applyFont="1" applyFill="1" applyAlignment="1">
      <alignment vertical="center" wrapText="1"/>
    </xf>
    <xf numFmtId="0" fontId="24" fillId="2" borderId="19" xfId="0" applyFont="1" applyFill="1" applyBorder="1" applyAlignment="1">
      <alignment horizontal="center" vertical="center" wrapText="1"/>
    </xf>
    <xf numFmtId="0" fontId="24" fillId="2" borderId="20" xfId="0" applyFont="1" applyFill="1" applyBorder="1" applyAlignment="1">
      <alignment horizontal="center" vertical="center" wrapText="1"/>
    </xf>
    <xf numFmtId="3" fontId="24" fillId="2" borderId="20" xfId="0" applyNumberFormat="1" applyFont="1" applyFill="1" applyBorder="1" applyAlignment="1">
      <alignment horizontal="center" vertical="center" wrapText="1"/>
    </xf>
    <xf numFmtId="166" fontId="24" fillId="2" borderId="20" xfId="0" applyNumberFormat="1" applyFont="1" applyFill="1" applyBorder="1" applyAlignment="1">
      <alignment horizontal="left" vertical="center" wrapText="1" indent="2"/>
    </xf>
    <xf numFmtId="166" fontId="24" fillId="2" borderId="21" xfId="0" applyNumberFormat="1" applyFont="1" applyFill="1" applyBorder="1" applyAlignment="1">
      <alignment horizontal="left" vertical="center" wrapText="1" indent="2"/>
    </xf>
    <xf numFmtId="0" fontId="7" fillId="3" borderId="16" xfId="0" applyFont="1" applyFill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8" fillId="2" borderId="0" xfId="0" applyFont="1" applyFill="1"/>
    <xf numFmtId="0" fontId="8" fillId="0" borderId="0" xfId="3" applyFont="1" applyAlignment="1">
      <alignment vertical="center" wrapText="1"/>
    </xf>
    <xf numFmtId="0" fontId="8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 wrapText="1"/>
    </xf>
    <xf numFmtId="0" fontId="25" fillId="3" borderId="22" xfId="3" applyFont="1" applyFill="1" applyBorder="1" applyAlignment="1">
      <alignment horizontal="center" vertical="center"/>
    </xf>
    <xf numFmtId="0" fontId="25" fillId="3" borderId="23" xfId="3" applyFont="1" applyFill="1" applyBorder="1" applyAlignment="1">
      <alignment horizontal="center" vertical="center" wrapText="1"/>
    </xf>
    <xf numFmtId="0" fontId="25" fillId="3" borderId="23" xfId="3" applyFont="1" applyFill="1" applyBorder="1" applyAlignment="1">
      <alignment horizontal="center" vertical="center"/>
    </xf>
    <xf numFmtId="0" fontId="25" fillId="3" borderId="24" xfId="3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7" fillId="2" borderId="4" xfId="0" applyFont="1" applyFill="1" applyBorder="1" applyAlignment="1">
      <alignment horizontal="left" vertical="center" indent="1"/>
    </xf>
    <xf numFmtId="0" fontId="14" fillId="2" borderId="5" xfId="3" applyFont="1" applyFill="1" applyBorder="1" applyAlignment="1">
      <alignment horizontal="left" vertical="center" indent="1"/>
    </xf>
    <xf numFmtId="0" fontId="36" fillId="2" borderId="0" xfId="0" applyFont="1" applyFill="1" applyAlignment="1">
      <alignment horizontal="left"/>
    </xf>
    <xf numFmtId="0" fontId="24" fillId="2" borderId="6" xfId="0" applyFont="1" applyFill="1" applyBorder="1" applyAlignment="1">
      <alignment horizontal="left" vertical="center" indent="1"/>
    </xf>
    <xf numFmtId="0" fontId="30" fillId="2" borderId="7" xfId="0" applyFont="1" applyFill="1" applyBorder="1" applyAlignment="1">
      <alignment horizontal="left" vertical="center" indent="1"/>
    </xf>
    <xf numFmtId="0" fontId="30" fillId="2" borderId="8" xfId="0" applyFont="1" applyFill="1" applyBorder="1" applyAlignment="1">
      <alignment horizontal="left" vertical="center" indent="1"/>
    </xf>
    <xf numFmtId="0" fontId="24" fillId="2" borderId="4" xfId="0" applyFont="1" applyFill="1" applyBorder="1" applyAlignment="1">
      <alignment horizontal="left" vertical="center" indent="1"/>
    </xf>
    <xf numFmtId="0" fontId="13" fillId="2" borderId="1" xfId="3" applyFont="1" applyFill="1" applyBorder="1" applyAlignment="1">
      <alignment horizontal="left" vertical="center" indent="1"/>
    </xf>
    <xf numFmtId="0" fontId="12" fillId="4" borderId="9" xfId="3" applyFont="1" applyFill="1" applyBorder="1" applyAlignment="1">
      <alignment horizontal="center"/>
    </xf>
    <xf numFmtId="0" fontId="12" fillId="4" borderId="9" xfId="3" applyFont="1" applyFill="1" applyBorder="1" applyAlignment="1">
      <alignment wrapText="1"/>
    </xf>
    <xf numFmtId="0" fontId="24" fillId="0" borderId="0" xfId="0" applyFont="1" applyAlignment="1">
      <alignment horizontal="center" vertical="center"/>
    </xf>
    <xf numFmtId="0" fontId="11" fillId="4" borderId="10" xfId="0" applyFont="1" applyFill="1" applyBorder="1" applyAlignment="1">
      <alignment horizontal="center" vertical="center" wrapText="1"/>
    </xf>
    <xf numFmtId="0" fontId="11" fillId="4" borderId="12" xfId="0" applyFont="1" applyFill="1" applyBorder="1" applyAlignment="1">
      <alignment horizontal="center" vertical="center" wrapText="1"/>
    </xf>
    <xf numFmtId="0" fontId="4" fillId="0" borderId="4" xfId="2" applyBorder="1" applyAlignment="1" applyProtection="1">
      <alignment vertical="center"/>
    </xf>
    <xf numFmtId="0" fontId="13" fillId="2" borderId="3" xfId="3" applyFont="1" applyFill="1" applyBorder="1" applyAlignment="1">
      <alignment horizontal="left" vertical="center" indent="1"/>
    </xf>
    <xf numFmtId="0" fontId="14" fillId="0" borderId="13" xfId="3" applyFont="1" applyBorder="1" applyAlignment="1">
      <alignment horizontal="center"/>
    </xf>
    <xf numFmtId="0" fontId="14" fillId="0" borderId="13" xfId="3" applyFont="1" applyBorder="1" applyAlignment="1">
      <alignment horizontal="center" vertical="center"/>
    </xf>
    <xf numFmtId="3" fontId="14" fillId="0" borderId="13" xfId="3" applyNumberFormat="1" applyFont="1" applyBorder="1" applyAlignment="1">
      <alignment horizontal="center" vertical="center"/>
    </xf>
    <xf numFmtId="0" fontId="15" fillId="0" borderId="13" xfId="3" applyFont="1" applyBorder="1" applyAlignment="1">
      <alignment horizontal="center"/>
    </xf>
    <xf numFmtId="169" fontId="14" fillId="0" borderId="13" xfId="1" applyNumberFormat="1" applyFont="1" applyBorder="1" applyAlignment="1">
      <alignment horizontal="center" vertical="center"/>
    </xf>
    <xf numFmtId="168" fontId="14" fillId="0" borderId="13" xfId="1" applyNumberFormat="1" applyFont="1" applyBorder="1" applyAlignment="1">
      <alignment horizontal="center" vertical="center"/>
    </xf>
    <xf numFmtId="168" fontId="14" fillId="0" borderId="13" xfId="4" applyNumberFormat="1" applyFont="1" applyBorder="1" applyAlignment="1">
      <alignment horizontal="center" vertical="center"/>
    </xf>
    <xf numFmtId="168" fontId="14" fillId="2" borderId="13" xfId="4" applyNumberFormat="1" applyFont="1" applyFill="1" applyBorder="1" applyAlignment="1">
      <alignment horizontal="center" vertical="center"/>
    </xf>
    <xf numFmtId="0" fontId="9" fillId="0" borderId="0" xfId="0" applyFont="1"/>
    <xf numFmtId="0" fontId="9" fillId="0" borderId="0" xfId="0" applyFont="1" applyAlignment="1">
      <alignment horizontal="center"/>
    </xf>
    <xf numFmtId="0" fontId="39" fillId="0" borderId="0" xfId="0" applyFont="1" applyAlignment="1">
      <alignment horizontal="center" wrapText="1"/>
    </xf>
    <xf numFmtId="3" fontId="14" fillId="2" borderId="13" xfId="3" applyNumberFormat="1" applyFont="1" applyFill="1" applyBorder="1" applyAlignment="1">
      <alignment horizontal="center" vertical="center"/>
    </xf>
    <xf numFmtId="169" fontId="14" fillId="2" borderId="13" xfId="1" applyNumberFormat="1" applyFont="1" applyFill="1" applyBorder="1" applyAlignment="1">
      <alignment horizontal="center" vertical="center"/>
    </xf>
    <xf numFmtId="168" fontId="14" fillId="2" borderId="13" xfId="1" applyNumberFormat="1" applyFont="1" applyFill="1" applyBorder="1" applyAlignment="1">
      <alignment horizontal="center" vertical="center"/>
    </xf>
    <xf numFmtId="0" fontId="40" fillId="0" borderId="13" xfId="0" applyFont="1" applyBorder="1" applyAlignment="1">
      <alignment vertical="center"/>
    </xf>
    <xf numFmtId="0" fontId="36" fillId="2" borderId="0" xfId="0" applyFont="1" applyFill="1" applyAlignment="1">
      <alignment horizontal="left"/>
    </xf>
    <xf numFmtId="0" fontId="17" fillId="2" borderId="0" xfId="0" applyFont="1" applyFill="1" applyAlignment="1">
      <alignment horizontal="left" vertical="center" wrapText="1" indent="5"/>
    </xf>
    <xf numFmtId="14" fontId="17" fillId="2" borderId="0" xfId="0" applyNumberFormat="1" applyFont="1" applyFill="1" applyAlignment="1">
      <alignment horizontal="left" vertical="center" wrapText="1" indent="5"/>
    </xf>
    <xf numFmtId="0" fontId="8" fillId="2" borderId="14" xfId="3" applyFont="1" applyFill="1" applyBorder="1" applyAlignment="1">
      <alignment horizontal="center"/>
    </xf>
    <xf numFmtId="0" fontId="8" fillId="2" borderId="0" xfId="3" applyFont="1" applyFill="1" applyAlignment="1">
      <alignment horizontal="center"/>
    </xf>
    <xf numFmtId="0" fontId="8" fillId="2" borderId="2" xfId="3" applyFont="1" applyFill="1" applyBorder="1" applyAlignment="1">
      <alignment horizontal="center"/>
    </xf>
    <xf numFmtId="0" fontId="13" fillId="2" borderId="0" xfId="3" applyFont="1" applyFill="1" applyAlignment="1">
      <alignment horizontal="center" vertical="center" wrapText="1"/>
    </xf>
    <xf numFmtId="0" fontId="13" fillId="2" borderId="0" xfId="3" applyFont="1" applyFill="1" applyAlignment="1">
      <alignment horizontal="left" wrapText="1"/>
    </xf>
    <xf numFmtId="0" fontId="7" fillId="2" borderId="2" xfId="0" applyFont="1" applyFill="1" applyBorder="1" applyAlignment="1">
      <alignment horizontal="center" vertical="center" wrapText="1"/>
    </xf>
    <xf numFmtId="0" fontId="8" fillId="2" borderId="1" xfId="3" applyFont="1" applyFill="1" applyBorder="1" applyAlignment="1">
      <alignment horizontal="left" vertical="center" wrapText="1" indent="1"/>
    </xf>
    <xf numFmtId="0" fontId="8" fillId="2" borderId="2" xfId="3" applyFont="1" applyFill="1" applyBorder="1" applyAlignment="1">
      <alignment horizontal="left" vertical="center" wrapText="1" indent="1"/>
    </xf>
    <xf numFmtId="0" fontId="8" fillId="2" borderId="3" xfId="3" applyFont="1" applyFill="1" applyBorder="1" applyAlignment="1">
      <alignment horizontal="left" vertical="center" wrapText="1" indent="1"/>
    </xf>
    <xf numFmtId="0" fontId="14" fillId="2" borderId="6" xfId="3" applyFont="1" applyFill="1" applyBorder="1" applyAlignment="1">
      <alignment horizontal="left" vertical="center" indent="1"/>
    </xf>
    <xf numFmtId="0" fontId="14" fillId="2" borderId="7" xfId="3" applyFont="1" applyFill="1" applyBorder="1" applyAlignment="1">
      <alignment horizontal="left" vertical="center" indent="1"/>
    </xf>
    <xf numFmtId="0" fontId="14" fillId="2" borderId="8" xfId="3" applyFont="1" applyFill="1" applyBorder="1" applyAlignment="1">
      <alignment horizontal="left" vertical="center" indent="1"/>
    </xf>
    <xf numFmtId="0" fontId="14" fillId="3" borderId="6" xfId="3" applyFont="1" applyFill="1" applyBorder="1" applyAlignment="1">
      <alignment horizontal="left" vertical="center" wrapText="1" indent="1"/>
    </xf>
    <xf numFmtId="0" fontId="14" fillId="3" borderId="7" xfId="3" applyFont="1" applyFill="1" applyBorder="1" applyAlignment="1">
      <alignment horizontal="left" vertical="center" wrapText="1" indent="1"/>
    </xf>
    <xf numFmtId="0" fontId="14" fillId="3" borderId="8" xfId="3" applyFont="1" applyFill="1" applyBorder="1" applyAlignment="1">
      <alignment horizontal="left" vertical="center" wrapText="1" indent="1"/>
    </xf>
    <xf numFmtId="0" fontId="14" fillId="3" borderId="4" xfId="3" applyFont="1" applyFill="1" applyBorder="1" applyAlignment="1">
      <alignment horizontal="left" vertical="center" wrapText="1" indent="1"/>
    </xf>
    <xf numFmtId="0" fontId="14" fillId="3" borderId="0" xfId="3" applyFont="1" applyFill="1" applyAlignment="1">
      <alignment horizontal="left" vertical="center" wrapText="1" indent="1"/>
    </xf>
    <xf numFmtId="0" fontId="14" fillId="3" borderId="5" xfId="3" applyFont="1" applyFill="1" applyBorder="1" applyAlignment="1">
      <alignment horizontal="left" vertical="center" wrapText="1" indent="1"/>
    </xf>
    <xf numFmtId="0" fontId="24" fillId="2" borderId="4" xfId="0" applyFont="1" applyFill="1" applyBorder="1" applyAlignment="1">
      <alignment horizontal="left" vertical="center" wrapText="1"/>
    </xf>
    <xf numFmtId="0" fontId="24" fillId="2" borderId="0" xfId="0" applyFont="1" applyFill="1" applyAlignment="1">
      <alignment horizontal="left" vertical="center" wrapText="1"/>
    </xf>
    <xf numFmtId="0" fontId="24" fillId="2" borderId="5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4" fillId="0" borderId="4" xfId="2" applyBorder="1" applyAlignment="1" applyProtection="1">
      <alignment horizontal="center" vertical="center" wrapText="1"/>
    </xf>
    <xf numFmtId="0" fontId="4" fillId="0" borderId="0" xfId="2" applyBorder="1" applyAlignment="1" applyProtection="1">
      <alignment horizontal="center" vertical="center" wrapText="1"/>
    </xf>
    <xf numFmtId="0" fontId="4" fillId="0" borderId="5" xfId="2" applyBorder="1" applyAlignment="1" applyProtection="1">
      <alignment horizontal="center" vertical="center" wrapText="1"/>
    </xf>
    <xf numFmtId="0" fontId="8" fillId="2" borderId="4" xfId="0" applyFont="1" applyFill="1" applyBorder="1" applyAlignment="1">
      <alignment horizontal="center"/>
    </xf>
    <xf numFmtId="0" fontId="8" fillId="2" borderId="0" xfId="0" applyFont="1" applyFill="1" applyAlignment="1">
      <alignment horizontal="center"/>
    </xf>
    <xf numFmtId="0" fontId="8" fillId="2" borderId="5" xfId="0" applyFont="1" applyFill="1" applyBorder="1" applyAlignment="1">
      <alignment horizontal="center"/>
    </xf>
    <xf numFmtId="0" fontId="8" fillId="2" borderId="6" xfId="0" applyFont="1" applyFill="1" applyBorder="1" applyAlignment="1">
      <alignment horizontal="center"/>
    </xf>
    <xf numFmtId="0" fontId="8" fillId="2" borderId="7" xfId="0" applyFont="1" applyFill="1" applyBorder="1" applyAlignment="1">
      <alignment horizontal="center"/>
    </xf>
    <xf numFmtId="0" fontId="8" fillId="2" borderId="8" xfId="0" applyFont="1" applyFill="1" applyBorder="1" applyAlignment="1">
      <alignment horizontal="center"/>
    </xf>
    <xf numFmtId="0" fontId="11" fillId="4" borderId="9" xfId="0" applyFont="1" applyFill="1" applyBorder="1" applyAlignment="1">
      <alignment horizontal="center" vertical="center" wrapText="1"/>
    </xf>
    <xf numFmtId="0" fontId="24" fillId="2" borderId="4" xfId="0" applyFont="1" applyFill="1" applyBorder="1" applyAlignment="1">
      <alignment horizontal="left" vertical="center" wrapText="1" indent="1"/>
    </xf>
    <xf numFmtId="0" fontId="27" fillId="2" borderId="0" xfId="0" applyFont="1" applyFill="1" applyAlignment="1">
      <alignment horizontal="left" vertical="center" wrapText="1" indent="1"/>
    </xf>
    <xf numFmtId="0" fontId="27" fillId="2" borderId="5" xfId="0" applyFont="1" applyFill="1" applyBorder="1" applyAlignment="1">
      <alignment horizontal="left" vertical="center" wrapText="1" indent="1"/>
    </xf>
    <xf numFmtId="0" fontId="19" fillId="2" borderId="0" xfId="0" applyFont="1" applyFill="1" applyAlignment="1">
      <alignment horizontal="left"/>
    </xf>
    <xf numFmtId="0" fontId="2" fillId="2" borderId="0" xfId="0" applyFont="1" applyFill="1" applyAlignment="1">
      <alignment horizontal="left" vertical="center" wrapText="1"/>
    </xf>
    <xf numFmtId="15" fontId="11" fillId="4" borderId="9" xfId="0" applyNumberFormat="1" applyFont="1" applyFill="1" applyBorder="1" applyAlignment="1">
      <alignment horizontal="center" vertical="center" wrapText="1"/>
    </xf>
    <xf numFmtId="0" fontId="11" fillId="4" borderId="11" xfId="0" applyFont="1" applyFill="1" applyBorder="1" applyAlignment="1">
      <alignment horizontal="center" vertical="center" wrapText="1"/>
    </xf>
    <xf numFmtId="0" fontId="24" fillId="3" borderId="6" xfId="0" applyFont="1" applyFill="1" applyBorder="1" applyAlignment="1">
      <alignment horizontal="left" vertical="center" wrapText="1" indent="1"/>
    </xf>
    <xf numFmtId="0" fontId="27" fillId="3" borderId="7" xfId="0" applyFont="1" applyFill="1" applyBorder="1" applyAlignment="1">
      <alignment horizontal="left" vertical="center" wrapText="1" indent="1"/>
    </xf>
    <xf numFmtId="0" fontId="38" fillId="3" borderId="4" xfId="0" applyFont="1" applyFill="1" applyBorder="1" applyAlignment="1">
      <alignment horizontal="left" vertical="center" wrapText="1" indent="1"/>
    </xf>
    <xf numFmtId="0" fontId="24" fillId="3" borderId="0" xfId="0" applyFont="1" applyFill="1" applyAlignment="1">
      <alignment horizontal="left" vertical="center" wrapText="1" indent="1"/>
    </xf>
    <xf numFmtId="0" fontId="24" fillId="3" borderId="4" xfId="0" applyFont="1" applyFill="1" applyBorder="1" applyAlignment="1">
      <alignment horizontal="left" vertical="center" wrapText="1" indent="1"/>
    </xf>
    <xf numFmtId="0" fontId="24" fillId="3" borderId="4" xfId="0" applyFont="1" applyFill="1" applyBorder="1" applyAlignment="1">
      <alignment horizontal="left" vertical="center" indent="1"/>
    </xf>
    <xf numFmtId="0" fontId="24" fillId="3" borderId="0" xfId="0" applyFont="1" applyFill="1" applyAlignment="1">
      <alignment horizontal="left" vertical="center" indent="1"/>
    </xf>
    <xf numFmtId="0" fontId="28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 vertical="center" wrapText="1"/>
    </xf>
    <xf numFmtId="14" fontId="17" fillId="2" borderId="0" xfId="0" applyNumberFormat="1" applyFont="1" applyFill="1" applyAlignment="1">
      <alignment horizontal="left" vertical="center" wrapText="1"/>
    </xf>
    <xf numFmtId="0" fontId="27" fillId="2" borderId="4" xfId="0" applyFont="1" applyFill="1" applyBorder="1" applyAlignment="1">
      <alignment horizontal="left" vertical="center" indent="1"/>
    </xf>
    <xf numFmtId="0" fontId="27" fillId="2" borderId="0" xfId="0" applyFont="1" applyFill="1" applyAlignment="1">
      <alignment horizontal="left" vertical="center" indent="1"/>
    </xf>
    <xf numFmtId="0" fontId="27" fillId="2" borderId="5" xfId="0" applyFont="1" applyFill="1" applyBorder="1" applyAlignment="1">
      <alignment horizontal="left" vertical="center" indent="1"/>
    </xf>
    <xf numFmtId="0" fontId="8" fillId="0" borderId="4" xfId="3" applyFont="1" applyBorder="1" applyAlignment="1">
      <alignment horizontal="center" vertical="center" wrapText="1"/>
    </xf>
    <xf numFmtId="0" fontId="8" fillId="0" borderId="0" xfId="3" applyFont="1" applyAlignment="1">
      <alignment horizontal="center" vertical="center" wrapText="1"/>
    </xf>
    <xf numFmtId="0" fontId="8" fillId="0" borderId="5" xfId="3" applyFont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24" fillId="3" borderId="4" xfId="0" applyFont="1" applyFill="1" applyBorder="1" applyAlignment="1">
      <alignment horizontal="left" wrapText="1" indent="1"/>
    </xf>
    <xf numFmtId="0" fontId="24" fillId="3" borderId="0" xfId="0" applyFont="1" applyFill="1" applyAlignment="1">
      <alignment horizontal="left" wrapText="1" indent="1"/>
    </xf>
    <xf numFmtId="0" fontId="24" fillId="3" borderId="4" xfId="0" applyFont="1" applyFill="1" applyBorder="1" applyAlignment="1">
      <alignment horizontal="left" indent="1"/>
    </xf>
    <xf numFmtId="0" fontId="24" fillId="3" borderId="0" xfId="0" applyFont="1" applyFill="1" applyAlignment="1">
      <alignment horizontal="left" indent="1"/>
    </xf>
    <xf numFmtId="0" fontId="24" fillId="3" borderId="1" xfId="0" applyFont="1" applyFill="1" applyBorder="1" applyAlignment="1">
      <alignment horizontal="left" vertical="center" wrapText="1" indent="1"/>
    </xf>
    <xf numFmtId="0" fontId="24" fillId="3" borderId="2" xfId="0" applyFont="1" applyFill="1" applyBorder="1" applyAlignment="1">
      <alignment horizontal="left" vertical="center" wrapText="1" indent="1"/>
    </xf>
    <xf numFmtId="0" fontId="29" fillId="2" borderId="0" xfId="2" applyFont="1" applyFill="1" applyBorder="1" applyAlignment="1" applyProtection="1">
      <alignment horizontal="center"/>
    </xf>
    <xf numFmtId="0" fontId="29" fillId="2" borderId="5" xfId="2" applyFont="1" applyFill="1" applyBorder="1" applyAlignment="1" applyProtection="1">
      <alignment horizontal="center"/>
    </xf>
    <xf numFmtId="0" fontId="41" fillId="4" borderId="12" xfId="3" applyFont="1" applyFill="1" applyBorder="1" applyAlignment="1">
      <alignment horizontal="center"/>
    </xf>
    <xf numFmtId="0" fontId="42" fillId="4" borderId="9" xfId="3" applyFont="1" applyFill="1" applyBorder="1" applyAlignment="1">
      <alignment horizontal="center"/>
    </xf>
    <xf numFmtId="0" fontId="42" fillId="4" borderId="9" xfId="3" applyFont="1" applyFill="1" applyBorder="1" applyAlignment="1">
      <alignment horizontal="left" wrapText="1" indent="5"/>
    </xf>
    <xf numFmtId="0" fontId="42" fillId="4" borderId="11" xfId="3" applyFont="1" applyFill="1" applyBorder="1" applyAlignment="1">
      <alignment horizontal="left" wrapText="1" indent="5"/>
    </xf>
    <xf numFmtId="0" fontId="43" fillId="0" borderId="13" xfId="3" applyFont="1" applyBorder="1" applyAlignment="1">
      <alignment horizontal="center"/>
    </xf>
    <xf numFmtId="0" fontId="44" fillId="0" borderId="13" xfId="0" applyFont="1" applyBorder="1" applyAlignment="1">
      <alignment vertical="center"/>
    </xf>
    <xf numFmtId="0" fontId="43" fillId="0" borderId="13" xfId="3" applyFont="1" applyBorder="1" applyAlignment="1">
      <alignment horizontal="center" vertical="center"/>
    </xf>
    <xf numFmtId="3" fontId="43" fillId="0" borderId="13" xfId="3" applyNumberFormat="1" applyFont="1" applyBorder="1" applyAlignment="1">
      <alignment horizontal="center" vertical="center"/>
    </xf>
    <xf numFmtId="0" fontId="45" fillId="0" borderId="0" xfId="0" applyFont="1"/>
  </cellXfs>
  <cellStyles count="8">
    <cellStyle name="Currency 2" xfId="4" xr:uid="{00000000-0005-0000-0000-000000000000}"/>
    <cellStyle name="Currency 2 2" xfId="6" xr:uid="{10B4B589-06A0-43E1-A561-57476AB6EEDC}"/>
    <cellStyle name="Hipervínculo" xfId="2" builtinId="8"/>
    <cellStyle name="Millares" xfId="1" builtinId="3"/>
    <cellStyle name="Millares 2" xfId="5" xr:uid="{6A8045A1-B922-4346-9A5E-F5A1DF597B13}"/>
    <cellStyle name="Moneda 2" xfId="7" xr:uid="{02C210D3-BDAF-4BE4-A8D1-A82507F14A11}"/>
    <cellStyle name="Normal" xfId="0" builtinId="0"/>
    <cellStyle name="Normal 2" xfId="3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544288</xdr:colOff>
      <xdr:row>0</xdr:row>
      <xdr:rowOff>117930</xdr:rowOff>
    </xdr:from>
    <xdr:to>
      <xdr:col>12</xdr:col>
      <xdr:colOff>491205</xdr:colOff>
      <xdr:row>3</xdr:row>
      <xdr:rowOff>108858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81DC588-F30F-E725-C7BA-1A4025F303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03002" y="117930"/>
          <a:ext cx="2967703" cy="562428"/>
        </a:xfrm>
        <a:prstGeom prst="rect">
          <a:avLst/>
        </a:prstGeom>
      </xdr:spPr>
    </xdr:pic>
    <xdr:clientData/>
  </xdr:twoCellAnchor>
  <xdr:twoCellAnchor editAs="oneCell">
    <xdr:from>
      <xdr:col>10</xdr:col>
      <xdr:colOff>272142</xdr:colOff>
      <xdr:row>35</xdr:row>
      <xdr:rowOff>136072</xdr:rowOff>
    </xdr:from>
    <xdr:to>
      <xdr:col>11</xdr:col>
      <xdr:colOff>707279</xdr:colOff>
      <xdr:row>38</xdr:row>
      <xdr:rowOff>419465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F20E4A32-2C21-4F8D-B8C9-B00AB6C2CD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334875" y="5973536"/>
          <a:ext cx="1435263" cy="1440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29</xdr:row>
      <xdr:rowOff>0</xdr:rowOff>
    </xdr:from>
    <xdr:to>
      <xdr:col>8</xdr:col>
      <xdr:colOff>304800</xdr:colOff>
      <xdr:row>30</xdr:row>
      <xdr:rowOff>95250</xdr:rowOff>
    </xdr:to>
    <xdr:sp macro="" textlink="">
      <xdr:nvSpPr>
        <xdr:cNvPr id="1025" name="AutoShape 1" descr="data:image/jpeg;base64,/9j/4AAQSkZJRgABAQAASABIAAD/4QBYRXhpZgAATU0AKgAAAAgAAgESAAMAAAABAAEAAIdpAAQAAAABAAAAJgAAAAAAA6ABAAMAAAAB//8AAKACAAQAAAABAAAC5aADAAQAAAABAAAC6QAAAAD/7QA4UGhvdG9zaG9wIDMuMAA4QklNBAQAAAAAAAA4QklNBCUAAAAAABDUHYzZjwCyBOmACZjs+EJ+/+ICNElDQ19QUk9GSUxFAAEBAAACJGFwcGwEAAAAbW50clJHQiBYWVogB+EABwAHAA0AFgAgYWNzcEFQUEwAAAAAQVBQTAAAAAAAAAAAAAAAAAAAAAAAAPbWAAEAAAAA0y1hcHBsyhqVgiV/EE04mRPV0eoVggAAAAAAAAAAAAAAAAAAAAAAAAAAAAAAAAAAAAAAAAAKZGVzYwAAAPwAAABlY3BydAAAAWQAAAAjd3RwdAAAAYgAAAAUclhZWgAAAZwAAAAUZ1hZWgAAAbAAAAAUYlhZWgAAAcQAAAAUclRSQwAAAdgAAAAgY2hhZAAAAfgAAAAsYlRSQwAAAdgAAAAgZ1RSQwAAAdgAAAAgZGVzYwAAAAAAAAALRGlzcGxheSBQMwAAAAAAAAAAAAAAAAAAAAAAAAAAAAAAAAAAAAAAAAAAAAAAAAAAAAAAAAAAAAAAAAAAAAAAAAAAAAAAAAAAAAAAAAAAAAAAAAAAAAAAAAAAAAB0ZXh0AAAAAENvcHlyaWdodCBBcHBsZSBJbmMuLCAyMDE3AABYWVogAAAAAAAA81EAAQAAAAEWzFhZWiAAAAAAAACD3wAAPb////+7WFlaIAAAAAAAAEq/AACxNwAACrlYWVogAAAAAAAAKDgAABELAADIuXBhcmEAAAAAAAMAAAACZmYAAPKnAAANWQAAE9AAAApbc2YzMgAAAAAAAQxCAAAF3v//8yYAAAeTAAD9kP//+6L///2jAAAD3AAAwG7/wAARCALpAuU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sAQwABAQEBAQECAQECAwICAgMFAwMDAwUGBQUFBQUGBwYGBgYGBgcHBwcHBwcHCAgICAgICgoKCgoLCwsLCwsLCwsL/9sAQwECAgIDAwMFAwMFDAgGCAwMDAwMDAwMDAwMDAwMDAwMDAwMDAwMDAwMDAwMDAwMDAwMDAwMDAwMDAwMDAwMDAwM/90ABAAv/9oADAMBAAIRAxEAPwD+/iiiigAooooAKKKKACiiigAooooAKKKKACiiigAooooAKKKKACiiigAooooAKKKKACiiigAooooAKKKKACiiigAooooAKKKKACiiigAooooAKKKKACiiigAooooAKKKKACiiigAooooAKKKKACiiigAooooAKKKKACiiigAooooAKKKKACiiigAooooAKKKKACiiigAooooAKKKKACiiigAooooAKKKKACiiigAooooAKKKKACiiigBB1NLSDqaWgD//0P7+KKKKACiiigAooooAKKKKACiiigAooooAKKKKACiiigAooooAKKKKACiiigAooooAKKKKACiiigAooooAKKKKACiiigAooooAKKKKACiiigAooooAKKKKACiiigAooooAKKKKACiiigAooooAKKKKACiiigAooooAKKKKACiiigAooooAKKKKACiiigAooooAKKKKACiiigAooooAKKKKACiiigAooooAKKKKACiiigAooooAKKKKAEHU0tIOppaAP//R/v4ooooAKKKKACiiigAooooAKKKKACiiigAooooAKKKKACiiigAooooAKKKKACiiigAooooAKKKKACiiigAooooAKKKKACiiigAooooAKKKKACiiigAooooAKKKKACiiigAooooAKKKKACiiigAooooAKKKKACiiigAooooAKKKKACiiigAooooAKKKKACiiigAooooAKKKKACiiigAooooAKKKKACiiigAooooAKKKKACiiigAooooAQdTS0g6mloA//9L+/iiiigAooooAKKKKACkyOlLUUi7sDvQBKSB1or4i/ad/4KG/sf8A7G2rWPh79pbxtY+FbvUozLbR3ZILqvBIwOlfKyf8F5f+CT6cH4x6M3/Am/woA/Yaivx+/wCH9X/BKD/osOjf99n/AAo/4f1f8EoP+iw6N/32f8KAP2Bor8fv+H9X/BKD/osOjf8AfZ/wo/4f1f8ABKD/AKLDo3/fZ/woA/YGivx+/wCH9X/BKD/osOjf99n/AAo/4f1f8EoP+iw6N/32f8KAP2Bor8fv+H9X/BKD/osOjf8AfZ/wo/4f1f8ABKD/AKLDo3/fZ/woA/YGivx+/wCH9X/BKD/osOjf99n/AApv/D+n/glB/wBFj0f/AL6NAH7B0gIPSvx5f/gvN/wShbC/8Lk0Yf8AAm/wr6m/Zh/4KJ/sd/tma1qHhj9mbxtY+KbzTIhLcx2hJKKxwCcigD7hoqKJCq7W5qWgAphdF4JxTicDNfDX7R3/AAUW/Yx/ZN1UaN+0D43sfDt2dv7u5JB+bp0FAH3JuXp6UoIIyK/Hxv8AgvD/AMEoV5/4XBowJ7bm/wAKE/4Lz/8ABJ8IAfjDow9tx/woA/YSivx+/wCH9X/BKD/osOjf99n/AApv/D+j/gk8Onxi0f8A76NAH7BEgdaWvzE+GH/BYj/gnD8Z/E8Pgv4b/FDS9V1OYqEgiY5Jbgdq/S2OWK5jE8L5QgEfSgC9TQwJwKh3HbuUZx0pFjywkHHqKALBKqOaMjGa8h+MXxl+HXwK8IS/ED4q6nFpGkQHa803AFfm3L/wXe/4JT2TtaXHxi0fzI2KsNzcEcEdO1AH7AhlK5HSlyMZr5G/Zw/bc/Zi/a4hkuP2evFdp4jggTzGa2ORjpX1hvXOzP4UAWCyhcnpS5GM18jftH/tufsxfskQxXH7Qviu08OQTp5itcnAwOO1fGsP/Bd//glNdutrb/GLR/MdgqgM3JPAHSgD9gwQelIXAOK8i+Dnxl+HXx08IReP/hVqcWr6ROdqTQ/dOK9WaPaxkPPoKALNFQK/y72XFQyTR26m4kfCAZP0FAFwEHpS1+YnxO/4LE/8E4fg14qm8FfEf4oaXpWpwEh4JWIYFeCOnavOP+H9H/BJ8cf8Li0f/vo/4UAfsFRX4/f8P6v+CUH/AEWHRv8Avs/4Uf8AD+r/AIJQf9Fh0b/vs/4UAfsDRX4/f8P6v+CUH/RYdG/77P8AhR/w/q/4JQf9Fh0b/vs/4UAfsDRX4/f8P6v+CUH/AEWHRv8Avs/4Uf8AD+r/AIJQf9Fh0b/vs/4UAfsDSAg9K/ID/h/L/wAEoWG5fjFo2B/tN/hX358BP2nfgX+074ZfxZ8DPENvr+nptDTW5yoz0oA+hKKgVtv7snJqegAoopjMEGT0oAfSAg9KpyTR26m4kfCAZP0Ffmj8Tv8AgsT/AME4fg14qm8FfEf4oaXpWpwEh4JWIYFeCOnagD9O6K/H3/h/R/wSfHH/AAuLR/8Avo/4Uv8Aw/q/4JQf9Fh0b/vs/wCFAH7A0V+d/wACv+Cq/wCwP+0t4qi8D/BP4i6br2qTOI0gt2JYseg6V+hHyx8OaALFFeS/F34z/DT4CeDpfiB8WNWi0fSLc4e4m4UZr825/wDgvD/wSjtZntpvjBoyvGSrDceCOMdKAP1+or8fv+H9X/BKD/osOjf99n/Cj/h/V/wSg/6LDo3/AH2f8KAP2Bor8fv+H9X/AASg/wCiw6N/32f8KfD/AMF4f+CUVzMltB8YNGZ5CFUbjyTwB0oA/X6kyM4ryX4QfGv4a/HbwnF48+FWqRaxpE/CXMP3SR2r07eskhWM4ZeooAthlJwO1Or8xPi3/wAFh/8AgnL8BviDqXwu+K/xN0vRte0mTybu0mYhkYdjxXnP/D+r/glB/wBFh0b/AL7P+FAH7A0V+P3/AA/q/wCCUH/RYdG/77P+FH/D+r/glB/0WHRv++z/AIUAfsDRX4/f8P6v+CUH/RYdG/77P+FH/D+r/glB/wBFh0b/AL7P+FAH7A0V+P3/AA/q/wCCUH/RYdG/77P+FH/D+r/glB/0WHRv++z/AIUAfsDRX4/f8P6v+CUH/RYdG/77P+FH/D+r/glB/wBFh0b/AL7P+FAH7A0V+P3/AA/q/wCCUH/RYdG/77P+FH/D+r/glB/0WHRv++z/AIUAfsDSZGcV+P8A/wAP6v8AglB/0WHRv++z/hX6A/s8ftN/A/8Aau+HyfFL9n/X7fxHoUsjQrd2xyu9eo/CgD3/ACM4oBHQdqqqjYwTz61JEoX5c5I60AT0UUUAFFFFACDqaWkHU0tAH//T/v4ooooAKKKKACiiigAqvPIY1+QZbsKsUUAf5x3/AAeqJK37RHwtmPGNGmyP+B1/EA3l/wAPSv7gP+D1Ybf2jPhdIO2jTcdvv1/D4jfPmgCKiv2v/Yc/4IMft1f8FBvg9F8cv2f7LT59Dmme3VrmYRtuThvlx0r7NP8AwaU/8FXi+xdM0bA/6el/woA/mDor+n3/AIhJv+CsGcf2Xo3/AIFr/hS/8Qkv/BWH/oF6N/4Fr/hQB/MDRX9P3/EJL/wVh/6Bejf+Ba/4Uf8AEJL/AMFYf+gXo3/gWv8AhQB/MDRX9P3/ABCS/wDBWH/oF6N/4Fr/AIUh/wCDSb/grAOul6N/4Fr/AIUAfzBUV/T6f+DSf/grAOul6N/4Fr/hXx3+3B/wQL/bz/4J/wDwWm+PPx9sdOg0GCdLdmtpw77n4X5QOlAH4nRIAPNk6V/bv/wZVOT+0l8VZEXH/EmhwP8AgdfxBglf8K/t8/4MpH3/ALSnxUP/AFBof/Q6AP8ARxh3EZfg+lWKYzbeB1Nfmt+3j/wVU/ZW/wCCdUVo37RF7cWzXsRmiW3TexUcdKAP0sr/ACpf+DtXxDr0n/BUHUfDct0406PSbV0gz8obb1xX9clp/wAHZ/8AwSiurqOzTU9ZDSOEH+inGScetfjT/wAFWf8AglT8V/8AguD8WB+3R+wu1vqOlalbw2Q+2zCL/VAZ+XnnmgD+BsbsgyHimygjGOnY1/S74h/4NSf+Cq3hjR7nXr/StIaG0TzGCXIY4HoAK/ny+Nfwk8Y/Av4m6p8KvH0Qg1fR5fJuI16Bh2FAHlNFWYIJLmeO3j6yMFH1PFf0EfAL/g2l/wCCk37R3gC0+JfgHS9OGm3sayRG4m2MQwyvBHpQB+U/7C3ibXvDP7XHw+n0W7ktGm16zjkMZxuUyrwfav8AcV8NSpJ4fsJDwpt4+f8AgIr/ADPP2Vf+DX/9un4H/GbS/jL+0La6faaB4Snj1aV7W4DNtt23txx2Wv6k/F//AAdDf8EuvhBrjeAPEmq6o15pyLFJ5NuWTKjbwQcdqAP6UFG1S8XPoKkUdN3B9K/Dv9kL/g4I/wCCf37avxItfhX8GtTvn1a8lEMUdzD5YLHpjJr9twScq+fm6YoA/mr/AODrXxDrXhr/AIJX6rqWj3b2Ux1a2TdGcEgkgj8a/wAni4eaeRrmXkuck+pr/Zw/4LXfsJeL/wDgoT+xNf8A7PvgbadQmu4rmPc20Zjzjmv4D5/+DSv/AIKsLdzC10zRzCGbZm7XOO3b0oA/Q3/gy48TeIb/AOO/xL0G4uXls7bSIjFAT8qnf2Ff6Kuzjfj5vSv5O/8Ag3M/4IvftAf8EyvEnijx38eoreHUPEFitsy28okUFWzxX9ZDBVi9qAP86b/g9H8TeIdP+O/w00GC5eGzudIlMkCn5WIfjIr+HKB5oJFuo/lKEEEdiOlf6j3/AAcY/wDBF/4//wDBTbxN4W8c/ASKCa/8P2DWyrcSiNSWbNfywWv/AAaWf8FV2u4ftmmaOsG4B8XQztzz29KAP7CP+DUnxDrXiT/glfpWo6zdveTDVrlN0hyQqkAD8K/phf1Xk+lfyJfshftffsu/8G9H7LOn/si/taahcwa/BcteSx2a+fjzsHsele2J/wAHaf8AwSfXAOqa1gf9OrUAf0/EF1zLxjtXPeI5Ut/D1/J/CLeTn0+U1/NS/wDwdq/8EnThv7T1n/wFP+NeYfF7/g7L/wCCbtx4JvYPhre6lNqksLJEk9qQp3KRzQB/nG/tzeJ9e8TftbfEG51q7kumh168jjLnoolYAD2r5Ir2L47eNbP4mfGnxR8QrTiDWdTnvE4xxK5YcfjXC+E/C+p+NPEth4T0Rd15qU628KnoWc7VFAHL0V/SN8PP+DWj/gqP8TPClr4w8P6Rpa2t0u5BLcBWxgdQRXz/APtef8G/H/BQD9ir4a3XxV+MmmWKaTZRGaZ7abzMKPoKAPw5opSMHFLtJGRQA2iiigBw3Y46V/pG/wDBmD4r1zXf2aviVZ61dPdC11aFIFc5Crs6Cv8AN1QBuO/av6xv+DdX/gs18BP+CZng7xT4F+O8k0Nhr18lyXt4vMYBV28YoA/1IESNj15q7X8wVp/wdl/8Eo7uaG0h1PWA8jKo/wBFIGTxX7z/ALLX7U/wp/a++FNt8Yvg7cPdaNdOY0dxg5GMjFAH0tUMiqRljwKezhOtfht+2B/wcD/8E/P2J/iZdfCj4zalfpq1jKYZY7WHzArL2ODxQB+0XiOVLfw9fyfwi3k59PlNf4dH7c3ifXvE37W3xBudau5LpodevI4y56KJWAA9q/0cPi7/AMHZ/wDwTbuPBF/D8N77U5tTkiZIkntSFOVI5r/M3+PPja2+JXxn8UfEKz4i1rU57xOMfLK5YcfjQB5BRXTeE/DOpeM/Eun+E9EXfeajOtvCvqzkKv61/RD8O/8Ag1p/4Kf/ABN8J2vjHw5pelraXS7lE1wFbGAehFAHyn/wQH8Ta9pH/BVD4TaVpl08NveawqzRqcBhtPWv9lJADnHOK/z3P+CQ/wDwbTftr/stftmeEv2g/j9bWVtZeGb5bmP7LOGJAGDkDFf6FCxjGaAP5mv+DrfxFrXhr/glVqt/4funtpTq9shZDg7SSCPpX+TvLI80jTSHLMck/Wv9nX/gtd+wj4v/AOChn7FOofs++Bdv9ozXcVzGGbYuY8kZNfwF3n/BpL/wVZF3KLTTNHMIY7CbsdM8dvSgD+Xmiv6fv+ISX/grD/0C9G/8C1/wpP8AiEn/AOCsAOP7L0b/AMC1/wAKAP5gqlilkikWaI7WQggjsR0r7S/bV/YL+Pn7BPjuD4e/H2zitNQuVZoxC25WCnBwcCvir5dvvQB/rEf8GpPiLX/EX/BKjStR1q4e8mXV7lN8hyQqkAD8K/phEYYeagwa/mM/4NJxn/gk7pn/AGGbr+Yr+nvywwHbFAH+Mz/wXuZf+Hq/xeG7JGsNx6fKK/HKv2M/4L3AD/gq38Xv+ww//oIr8gbK1+13cVovWVgg+pOBQBRor+kT4bf8Gtn/AAVA+K/gbS/iH4U03SG07WLaO6ty9yA2yRQy5GOOK7j/AIhK/wDgq59z+y9H3f8AX0P8KAP5g6K/p8/4hKf+Cr2cDTNGyP8Ap6X/AApR/wAGk3/BWAjjS9G/8C1/woA/mCor+n7/AIhJf+CsP/QL0b/wLX/Cj/iEl/4Kw/8AQL0b/wAC1/woA/mBor+n3/iEn/4KwDrpejcf9PS/4Un/ABCV/wDBV3739l6Pt/6+h/hQB/MHRX9Pg/4NKP8AgrA3K6Zo2O3+lj/Cvyh/4KE/8EvP2mv+CZ3izRvB37S1vaW13rlu1zbC0lEgKqcHOOlAH5w1/q6/8Gligf8ABKDTM8N/bF1/MV/lHLGxOOlf6uf/AAaTqG/4JPaXn/oM3X/oQoA/pzLTIqeSNw71ZQoWJXr3oEYDZH5VIAB0oAWiiigAooooAQdTS0g6mloA/9T+/iiiigAooooAKKKKACiiigD/ADkf+D1n/k4b4X/9geX/ANDr+HdPvV/cR/wes/8AJw3wv/7A8v8A6HX8OtAH+qp/waUgj/gmDp8f/UVuv51/Uom3hI+i1/LP/wAGkau3/BMTT/T+1br+df1QeWsSkgcDoKAFUEklunan4X1r+Sn9tL/g64+A/wCxl+0v4q/Zt8R/DrVNTvfC90bWW5hlQK5A6gGvlr/iNb/Zr/6JXrP/AH9T/GgD+3vC+tGF9a/iE/4jW/2a/wDoles/9/U/xo/4jW/2a/8Aoles/wDf1P8AGgD+3vC+tMcYxg8V/EP/AMRrf7Nf/RK9Z/7+p/jX1N+xX/wda/Ab9s/9pzwn+zb4c+HeqaXe+KLsWsVzNKrKhI6kCgD+stn+YRP0PSv5lv8Ag7G81f8AglHqgGM/2xa/lk1/TaF6g9K/mS/4Oykb/h1FqgP/AEGLX+ZoA/ygv8a/t4/4Mof+Tk/ip/2Bof8A0ZX8Qdf2+f8ABlD/AMnJ/FT/ALA0P/oygD/R5fhcjtX+ch/weq3d1H+0V8LbZJXSN9Gm3ICQD8/cdK/0bn3DGOgr+cD/AILh/wDBDfVf+Cr2s6D4q8N69aaHqWhWjWsMtypbG45/hoA/yT4ywPHav9Xf/g0zuZ77/glHpb3srSEaxdDLEk8Ecc1+BFl/wZV/tEx3cct18UtGaFXUuvlScjPI/Kv0st/+CjfwF/4Nr/hRZ/sOeLdDl8W6lZyC9kbT3VB+/AOdrCgD+zyeKKSLyZFDo3BBGQRX+Mb/AMF3YILX/gq78YILVFjRdZYBVAAHA6AV/W94n/4PTvgVe6BdWnh/4Zaxa3bxlYZTKhCt2Nfwrfts/tHXX7W/7T3iz9oe6ieGTxLdm6KP95cgDnFAHzZ4bAbxBY7v+fiP/wBDFf7l37FFnaWv7Jfw6S2iSJT4fsidihcnyV9K/wAMOwuTZ39ve4/1Uiv/AN8kGv7zv2R/+Dvn4Z/BD4H6J8LfiR4E1TWbrRrSG0jnikRV2xKFAwfpQB/b1+2bI8f7JvxFdW2uPD17gjg/6lq/w0vFl3d3viS+e9dpG+0yfMxJJ+Y9zX91v7W3/B3p8Mvjj8ENb+Gfw98B6ppF1rFpLaPNLIjLtkXb0FfwdX97JqGoTXvTzJGf6bjmgD9fP+CC97NB/wAFXPg/b2sjxpJrKh1DEBvlPUdK/wBmMARgkjNf4x//AAQe3/8AD2H4PO3/AEGV/wDQTX+zcz+WN1AEjHo1QdG8wdfSviz9vX9tbwP+wP8AAS6+P3xBgNzp1rIsPlKwQlm6AE/Sv5aLr/g9O/Zrtr2aFPhdrD+UzKGEyYIBxkUAf21M7+YY/wCGnEDaI/4a/Ff/AIJRf8Fp/g//AMFVW1Ox+HuiT6Jd6XbrcTQXDqzBWOB0r9q2QbPKWgAhAx9KYqJJJluo7V+Kn/BVv/gtP8H/APglRJpdj8QtFn1u71W3M8MFu6qxVTjgGvwrvv8Ag9R/Z0mtpRa/C3WY5yhCN5qcEjg0Afgz/wAHat5ej/gqrqVgJX8hdItSEJO3O306V/L7KSW2+npX6S/8FTv28Lv/AIKMftT337Qt1byWYuLdLdI5sFgqdBx7V+bCnj5OCKAEVmClR0NSADy+Qd3aojnPPGan89gP3ZxigBPvrvk7cYFfSX7GqJJ+1h8OFkAIPiGyBB6Y85a+aiybcjrXovwj8dP8Mfij4e+I0al20W/hvAq9T5ThsD8qAP8AeH8JWtraeGrCG1jWNBbR4VAAPujsK/Jf/gvZZWc//BKX4vzyxI7x6O2xioJX5h0Pav5yPhT/AMHnXwe8MeCbHQ/HHw61bUdQtoxHJOkqANtAAwPwr4m/4Kd/8HTngX9tz9mPX/2e/h34N1HQovENo1tcNO6sCCeOlAH8VWCpytRU7dg5Xil+TFADKKKKAJFAJx+VSKd3+s5A9Kr1Z88KoWMbfWgBil4j5i8EdK/1d/8Ag0yvbi5/4JQ6XJdO0x/tm6GWJY9R69q/yjJZw7hvQYr/AFbP+DSrP/Dp/TGXgf2zdfzFAH9PbOVxuGc1/jOf8F57y7m/4KtfGKCaVnjj1lgFYkhRtHQdq/2Xo/MUZZsg9K/xlv8AgvLs/wCHrvxjU9f7Zbn/AICKAPyD2ArnGPSpSYTb4YHzO3piprWOe+u4bVT8zMsYP1OK/rn/AGYP+DST9pP9pH4SaZ8U/wDhOdO0RNUgjuIobmF92yRdw6e1AH80f7Gg3ftXfDqF1BVvENkCCP8Apqtf7lnhO1t7Dwvp9taxrEn2ePhAFH3R2FfwOfAX/g048efsk+OU/aI+MHjjS9d0rwfjVvIhjdWzbHzOCeP4a+xviN/weJ/sy/C7xHJ4Fsfh7qepxaeBD9ogmTa235ePyoA/tAiKqCsXalEyx8dfpX8RSf8AB6x+zbF+7T4Waxgf9Nkpsf8Awerfs0oTt+FWs8/9NkoA/t5RucjpUuF9a/iBj/4PVv2aogfL+FesjP8A02Sn/wDEaz+zd/0SrWf+/wAn+NAH9veF9ailVVXcvUdK/iJ/4jW/2a/+iV6z/wB/U/xpp/4PWP2bGIb/AIVXrPH/AE2SgD8+f+D1Gzs7X9pH4WyW0SRmTRpi2xQMnf3xX8SGT07V+1f/AAWl/wCCrX/D1T4w6N8Q7bTbjS7TQ4Ht7eC4IYhWbIHFfirgbM0Af6u//BpP/wAonNM/7DN1/MV/T4n3a/mD/wCDSf8A5ROaZ/2Gbr+Yr+nxPu0Af4yv/Be//lK38Xv+ww//AKCK/Jbw9JnxBp4mHyieP/0IV+tv/BewL/w9a+LzN0GsNx/wEV+SOgSGXxDYI3T7RHj/AL6FAH+4t+wpE0f7Inw+EhBzoVnjb6eUtfWzKqgOvH1r5G/YMO/9kT4fiMbcaFZ/+ilr3T4u+ObP4W/C3XviXqcLXMOgWM1+8S8FhChcqPrigD0U4YAdCKlVRj5utfxF6j/welfs22V9NZP8LNZLwO0eRMnY4/pVdf8Ag9a/ZtC4Pwr1kn/rslAH9vuF9aML61/EJ/xGt/s1/wDRK9Z/7+p/jR/xGt/s1/8ARK9Z/wC/qf40Af27OvqflpCwLY4Ar+IVv+D1f9mx2+b4V6zt9POSv2E/4JE/8F2/hV/wVu+IXiPwD4D8H33hyTw1ardvJdOrBgzbcDbQB++zRog38/LX+ct/weoxpL+0L8MJpPvDR5sY/wB+v9GlhNknPy+lf5zf/B6bHCn7QvwwbHH9jzcf8DoA/h/d3kUStjjjAr/Vt/4NJP8AlFDpf/YYuv8A0IV/lISLGn3ec1/q3/8ABpJ/yih0v/sMXX/oQoA/qBooooAKKKKACiiigBB1NLSDqaWgD//V/v4ooooAKKKKACiiigAooooA/wA5H/g9Z/5OG+F//YHl/wDQ6/h1r+4r/g9Z/wCThvhf/wBgeX/0Ov4daAP9Vf8A4NIP+UYGn/8AYWuf51/VDX8r3/BpB/yjA0//ALC1z/Ov6oaAP8Yf/gvT/wApYfjF/wBhhv8A0EV+P9fsB/wXp/5Sw/GL/sMN/wCgivx/oAKKKKACv1//AOCDP/KWL4Of9hlf/QTX5AV+v/8AwQZ/5SxfBz/sMr/6CaAP9nY/fFfzG/8AB2X/AMopNT/7DFr/ADr+nI/fFfzG/wDB2X/yik1P/sMWv86AP8nyv7fP+DKH/k5P4qf9gaH/ANGV/EHX9vn/AAZQ/wDJyfxU/wCwND/6MoA/0dpGKkccVFJgjKH8KdOOmPyr+cL/AILi/wDBcXV/+CT+raB4Z8MaDZ63qmuWjXMMFyxUEKdv8NAH9G2UZsg/L3+tf5S3/B2lk/8ABVvU13fINGtcf981+gFj/wAHqP7RMl9Elx8LdGSJnAciZ+ATyfwFfpjaf8E5fgH/AMHJvwpsv25fF+tS+EdTvJPsMi6eiuP3AAxlqAP81jfvVYiPu0oO1jt5Sv8ARuP/AAZV/s5Fyo+KOsBfXyUqSP8A4Mqv2aw+P+Fp6xx/0xSgD/OMZWVgXHHYUiqdpzwtf6F/xZ/4MyfhB4Z8D3+v+BfiJq2palaxl4rd4kUEKCeo+lfwMfFrwKfhl8UPEHw8ZzI+iX81kd3U+U5X+lAHm7KdoxytCq24sg4HUV6T8JfArfE74oeH/h4jmJ9av4bIbeo81wnH51/fN8J/+DMn4QeJ/A9hr/jr4iatpupXMavLbpEhUAgEc0Afynf8EHGz/wAFYPg4CODrK4/75Nf7M0cZUtuO709q/l//AGAf+DYL9nn9hD46aX8dtE8YX3iDUNIuFuLdLqJQFZRjgjpX9QzbQcdKAP5gP+DtBCn/AASe1TzDu/4nNr/M1/lKlxt2L19f6V/uKft8fsTeA/2+v2f7v4A/EG4a00+6lWbzFUMVZOnBr+WLUP8Agyu/ZwuLh7qD4n6wm+QttESYUE5wPpQB+fn/AAZUlo/2kfimhXB/saH/ANDr/RxYEjjj3r+Kj4n/AA6+E3/Bqt8JLb4nfC6ceMtX8YhtOzqKiMsYwGHK1+cv/Eax+0ooyfhXo2D/ANNnoAT/AIPVTu/aP+FiEZP9jTY/77r+IzzAIvLxlvWv9I74Y/DX4Sf8HVXwkuPih8T5x4N1fwcF0/OnKJCpkG48vXKXH/Bld+z5DYTPB8TtYeZVJRfKTkgcCgD/ADmtg8sHPPpR8rEADbX6Rf8ABVH9gy4/4Jz/ALVF7+zrPdy3n2a3S4WWYAMQ/Tp7V+bG9qAHSAByFOQKjr+1v/gmD/waxeBf23/2YfD/AO0N8SPGWo6BH4htBc26W6KynJx3r9H/APiCi/Zu/wCiqaz/AN+UoA/zhan2R/dz+Nf6OP8AxBR/s34z/wALT1n/AL8pXzD+1p/waEfDD4JfA7XPif8ADfx3qms3Oi2k128UsaqNsabu30oA/gvXCqN64zxmoZQob5TmtG+tRaXs9mT/AKp2T/vk4rOfjC4wRQBHRRRQBbUxhM9T021GUAY+Z8uO1KoBO88Cv2p/4It/8EpYv+CqPxh1v4eXup3Gl2uh26XE01uoYhWOOhoA/FN9vBH5VFX+jpH/AMGVf7Nk5OPinrAI6jyU4qb/AIgov2bv+iqaz/35SgD/ADha/wBXr/g0s8sf8EoNMjQ7v+JxdfzFfBFn/wAGVn7N1peRXR+KOsOInDbTCmDg5xX9Sv7Bf7GHgP8AYM+Atp8APh5KZ7O0kaXzGUKSWxk4H0oA+1FhEYIHOOgr/GS/4Lw5b/grB8YnK8DWWyP+Aiv9m/yyM7TlhX+Mh/wXhkk/4ewfGLcMH+2W4/4CKAPyo8MSIniCwYjj7RH8vr8wr/cu/YwBb9kz4cgDb/xT1l/6JWv8Ly0uZLK5ivQuTG6uPwORX9b37MH/AAdt/tLfs4/CTTfhSPA2n63FpcEcEU9xK4YLGu0DA7YoA/0af2zG8v8AZM+IwIzjw9e/+iWr/DN8SyxnxDf7V+X7RJ8vp8xr+sf9p/8A4O2v2mP2jPhLqXwobwNp2iRanA8Es9tM+4rIu0jntiv5Ir26e8uZL0rgyOXP4nNAFJk/i6A9KAocZXjFfV37Ev7OVz+1x+0/4S/Z6tJHik8S3YtlZOoyO1f3UeHP+DLL4D32g2l5rvxM1i1vZYw00SxJhW9KAP8AOoO0n0qdTGEz1PTbX9Yf/BaL/g3P8L/8Exv2f5Pjx4D8TX3iHTop4rd2uUVQGk4x8tfydKAT5h4FADSgDHzPlx2pcR435/Cv2p/4It/8EpYv+CqPxh1v4eXup3Gl2uh26XE01uoYhWOOhr+r7/iCz/Zp8zH/AAtLWN/93yUxQB/nLhBkbPmz2qRjGUz90jjbX7T/APBaT/glNH/wSu+MWifD2y1O41O11u3e4gmnUKSqnA4FfiqwAO8cigD/AFcv+DSf/lE5pn/YZuv5iv6fE+7X8wf/AAaT/wDKJzTP+wzdfzFf0+J92gD/ABl/+C93/KVn4wf9hdv5CvyL0D/kP2H/AF3j/wDQhX66f8F7v+UrPxg/7C7fyFfkXoH/ACH7D/rvH/6EKAP9x/8AYL/5NG+H/wD2AbP/ANFLXSfto/8AJpfxH/7F29/9EtXN/sF/8mjfD/8A7ANn/wCilrpP20f+TS/iP/2Lt7/6JagD/C98R/8AIw6h/wBfEn/oZrErb8R/8jDqH/XxJ/6GaxKACiiigAr+3z/gyh/5OT+Kn/YGh/8ARlfxB1/b5/wZQ/8AJyfxU/7A0P8A6MoA/wBHyv8AOR/4PWf+Thvhf/2B5f8A0Ov9G6v85H/g9Z/5OG+F/wD2B5f/AEOgD+HWv9Xf/g0k/wCUUOl/9hi6/wDQhX+URX+rv/waSf8AKKHS/wDsMXX/AKEKAP6gaKKKACiiigAooooAQdTS0g6mloA//9b+/iiiigAooooAKKKKACiiigD/ADkf+D1n/k4b4X/9geX/ANDr+HWv7iv+D1n/AJOG+F//AGB5f/Q6/h1oA/1V/wDg0g/5Rgaf/wBha5/nX9UNfyvf8GkH/KMDT/8AsLXP86/qhoA/xh/+C9P/AClh+MX/AGGG/wDQRX4/1+wH/Ben/lLD8Yv+ww3/AKCK/H+gAooooAK/X/8A4IM/8pYvg5/2GV/9BNfkBX6//wDBBn/lLF8HP+wyv/oJoA/2dj98V/Mb/wAHZf8Ayik1P/sMWv8AOv6cj98V/Mb/AMHZf/KKTU/+wxa/zoA/yfK/t8/4Mof+Tk/ip/2Bof8A0ZX8Qdf2+f8ABlD/AMnJ/FT/ALA0P/oygD/R3kYDGa/zjv8Ag9Ssr1/2jvhddxxM0SaNNlwCQPn7noK/0bZycYPSvzV/bx/4JWfsr/8ABReCzg/aHsbm4FlEYY2t32FQeeDigD/E+A3HYoySeK/1e/8Ag0zs7qz/AOCUWmRXsTRv/bF0QHBHGRjrVay/4NNv+CUdteR3kOl6zmJwwBuj1ByO3Sv3p/Za/ZZ+Fn7IHwqtvg78IbdrbRbVi6I5ycnA6j6UAfRiMzKUkGG9ulPgIC+WOq0xsI4VuVPTFf58P/BXf/g5W/bX/ZW/bM8W/s9/AC5sbay8MXzW0n2m3DEgDjB4oA/0A/GFzb2vhfUJ7mRYlFtJlmIAHyHua/wzv2y3Sb9rL4iPAflPiC8wR0/1zV+1vxJ/4OkP+ConxL8J3XgvxFq2lLZ3q4cw24VwMY4IPFfzw+KvEmp+MvEl/wCLdeYSXWoTtcTFe7OcmgD3D9jUiD9rL4dNKQAPEFlz2H75a/3MvB9xBc+GdPmt5FlQ20eGQgj7o7iv8Fzwp4m1Twb4ksPFmgsEutOnW4hLdmQ5H8q/oe+G3/B0j/wVD+GfhO18GeHtW0s2VioVPOtwzYwB1J9qAP8AWqfBUiokbcOB0r/Pe/4JE/8AByv+2x+1R+2b4S/Z9+PtzY3Fl4mvlto/ssAQgEc5P4V/oQbnfiLjFACx4Z8jtUhXnPavyF/4LW/t2+Mf+Cen7FGoftA+BNq6lBdxWse9N4zJwOK/gTuv+DtP/gqvNcS/ZNT0dY95KZtV+7ngflQB+8n/AAepX1m/7PHwutkkRpI9YmygIyPk7jtX+cxl8+fx9K/ST9vH/gqf+1R/wUXntLj9oi+trj7HKZo0t02KGIxwvSvzd+UHA+9+lAH+jL/wZWX1rH+zv8UbZpESR9YhwhIDH5Owr+4JQANxr/E5/YO/4KpftVf8E6J7u4/Z4vra2+1yiaRJ03qSBjp0r9YbT/g7T/4Krx3EQu9T0dk3KXxar93PI/KgCt/wdrWt0f8Agqxqd55L+SdHtAHwdudvTPSv5gYopJpBFCpdm4AUZP4AV/p//sdfsf8A7MH/AAcMfsr6f+13+11p9xP4inuWspZLNvJyIMAcAV9FeHP+DUf/AIJW+GNctte0zStWaW1cOokuSwyPUYoA+5v+CD4ktP8AglN8HbW5jaOQaMoKsMEfMe1fr2XJbj7vev8AOG/4KJf8F+P2qv8Agm/+0DrP7E37Icljp/hzwBctYQpdwK52AZGG49a+SvhN/wAHZ3/BSK48e2Fv8SL7TJtIllCTJBbAMdxA4oA/1LllDfMOlfMP7ZduW/ZS+I5hGSfD14Ao/wCuLdBXffAfxzefEz4LeF/iDdkedrOmQXjYGOZEDHj8a7Txb4Z0vxn4av8AwnryF7XUYHt5gO6uNpH5UAf4MHimCey8SahDcRtG/wBokyrjaR8x7GuZbOea/wBaX4j/APBrV/wS5+Jfim68ZeIdJ1Rb29bc4huCqg9eFA4r8fv+Cu3/AAbVfsUfsr/sZeLf2gfgFa31ve+GbBrl/tM5cEg4GBQB/nvbAv3qR0K9alXywB5nNfrn/wAEVP2FfB3/AAUL/bY0/wDZ+8dBjp09nJcuEfacR47/AEoA/IsNsXjr6V/b5/wZXafer+0N8UblonWOTRogHKkD7/Y9K/eiz/4NLP8AglSlogutM1gzBBvxdHGcc44r5A/4KO23ws/4Nr/gLoXi79hW0ks9U8XTPp7SXw8/hFDLnIoA/tGghEKbRU1f5Q0n/B2n/wAFXVPGp6Pnv/oq1H/xFr/8FX/+gno3/gKtAH+r7VSNl3bG+8O9f5S9n/wdr/8ABVcXcRu9T0cw7xvAtVztzzj8K/v1/wCCKn7dHir/AIKF/sV6f8ffGoA1Ce7ktpCF2DMeBwKAP1zYZk47V/jI/wDBeb/lLF8Yv+wy3/oIr/ZwRWGUk6Yr/GR/4Lwon/D1/wCMWfujWW/9BFAH5Dyq20HPFRyfORj0rT0q1jvNTtrOTlZpVT8GIFf6V37Fv/Bqr+wB8Qf2efDfj74zWmoXGq63YQXu62uSFCyoGxj8aAP8zsMc5pMkcV/q9D/g0n/4JP8AfS9Y/wDAo/4Uv/EJP/wSe/6Bes/+BR/woA/gL/4IKWV3c/8ABVz4QTwxO6R6yu5lUkD5T1x0r/ZqA/v8elfh9+yF/wAG/H/BP79iX4k2vxY+DOmX0er2Uomie5m8wBh0xkcV+4GUcZY0AfzF/wDB2bZ3l3/wSj1SO2iaRhrFr8qAscA+1f5RZzECD94cEelf7rH7UX7Lnwq/a++Ftx8G/jBbtc6NcsHeNCA2QMDHFfg3ef8ABpp/wSkubqS6Ol6xmVi7YujjnnjigD8A/wDgytsL0ftD/FG5MTrHJo0QDlSB9/self6NLWsYh8vv61/F/wD8FHbX4Wf8G1/wG0Pxb+wrZyWWqeLpX09pL4CfhF3LnIr+dX/iLS/4Ks/9BPR9/wD16rQB+gX/AAepWN4f2iPhbcpE5jj0aYFwpIHz9z0FfxDgiUBAPm6ACv8ASg/4Jw2Xws/4OT/gTrfi/wDbptHvdU8Iypp6vY4g4ZdxxgV9p2f/AAaZ/wDBKa0uorsaXrG+Jg6/6UccHI7UAL/waZ211Zf8EpdMiuImi/4nF0cOpU9R2Nf06RyKYwRXzP8AsufsufCz9kL4XW3wc+DFs9po9q5dUkIJyevp6V9KSqnGeg9KAP8AGg/4L3gj/gqt8X/+wwf/AEEV+RWgf8h+w/67x/8AoQr9dP8Agvdu/wCHrHxeJxj+2GwP+AivyL0D/kP2H/XeP/0IUAf7j/7Bf/Jo3w//AOwDZ/8Aopa6T9tH/k0v4j/9i7e/+iWrm/2C/wDk0b4f/wDYBs//AEUtdJ+2j/yaX8R/+xdvf/RLUAf4XviP/kYdQ/6+JP8A0M1iVt+I/wDkYdQ/6+JP/QzWJQAUUUUAFf2+f8GUP/JyfxU/7A0P/oyv4g6/t8/4Mof+Tk/ip/2Bof8A0ZQB/o+V/nI/8HrP/Jw3wv8A+wPL/wCh1/o3V/nI/wDB6z/ycN8L/wDsDy/+h0Afw61/q7/8Gkn/ACih0v8A7DF1/wChCv8AKIr/AFd/+DST/lFDpf8A2GLr/wBCFAH9QNFFFABRRRQAUUUUAIOppaQdTS0Af//X/v4ooooAKKKKACiiigAooooA/wA5H/g9Z/5OG+F//YHl/wDQ6/h1r+4r/g9Z/wCThvhf/wBgeX/0Ov4d1GTigD/VU/4NIMf8OwdPH/UWuf51/VCSFGTwBX8rH/BpKjJ/wTF0/sf7VuuPxr+pxZRKCGH1FAH+Ml/wXoIb/grB8YWHT+2G/wDQRX5AV/tefFr/AII6f8E4fjp8QNS+KPxS+Ful6vrurSebdXcqnc7ep5rzn/hwz/wSe/6I3o3/AHy3+NAH+MTRX+zt/wAOGf8Agk9/0RvRv++W/wAaP+HDP/BJ7/ojejf98t/jQB/jE1+v/wDwQZ/5SxfBz/sMr/6Ca/09/wDhwz/wSe/6I3o3/fLf416J8Jf+CO3/AATj+BPxE0v4p/Cn4W6Xo+u6RJ51pdwqQ0bDuOaAP06yCwNfzHf8HZf/ACik1P8A7DFr/Ov6ad2xtp6noK/mU/4OyVcf8Eo9UHU/2xa/zNAH+T9X9vn/AAZQ/wDJyfxU/wCwND/6Mr+IV/vV/b1/wZQ/8nJ/FT/sDQ/+jKAP9HeRAcN6VFLk8fpUrEh1UV/FL/wdOf8ABT/9pz9iPx/4M+HH7PHiG78Pya9pzzvcWzAbWV8dDQB/aid24OBwBjFEmzyR5nrxX+Myf+C83/BV92wvxi1kEf7S/wCFRj/gvD/wVfdefjBrJx/tL/hQB/s1srIFB59K/wAbP/gvh4Z17R/+CqXxa1XVLZ4be71hjC7DAcbR92l8M/8ABfP/AIKoaPrlpqusfFrWLu2gkDPAzLhlHbpX+hx+xN+xH+xr/wAFKf2M/h/+1J+078PbHxJ4o8S2Iu7q7uwWdnJIJJBoA/yMSpDbiMrUKhlG8V/sRfF//ggD/wAEx9b+HWpWfhf4Y6TpF55LOlwinKlVNf5Jn7SHhDTPAHx58Y+CNHwtrpWsXNrEq9AschUAfgKAPE33FRIaXb8+cYFe0/s3+ENM+IPx58HeCNYw1rqusW1rKp6FZJFU/pX+tn8H/wDggH/wTG0D4d6bY+LPhhpOrX3kqzXDqQWLKPpQB/m9/wDBA7w1ruq/8FUfhLq+m2sk9vZ6wpmZBwg2nrX+yfGXGa/np/bc/Yj/AGNv+Cav7Gnj/wDak/Zg+H1j4Z8UeG7A3drd2gKurqQAQSa/zxfE3/Bff/gqdquvXWo6T8WtYtLedy0cIZcKOw6UAf3bf8HbHifQIv8Agl5qPhia7j+3yavayLDn5tueuK/ytDyvlg8ivtT9o7/gol+2T+1npQ0H9oTxxfeI7T5T5dyQR8vToK+JSRuyBgUALgMAMYNOUsD5df1Ef8GxP7AnwO/bp/aD8YaL8c9It9a03QLGK5WG4XKnLYPSv74Iv+CDv/BJ4xl2+D2jYH8W1v8AGgD/ABlBhQQRzVq3ga4dbePl3IC49T0Ff7MMX/BBj/glEg5+D2jMG6fKf8adZ/8ABCD/AIJS2cizD4P6MkiOGQ7TwQeO9AHw9/waj+Htb8Mf8ErdKsdetXtp21a5YK4wdpIwa/phZ8cHkV/nDf8ABfn/AIKJ/H//AIJvftTyfsg/sS6xc+APD2n2UF2kensAuXXkYP0r8I/DP/Bfb/gqfo+v2up6r8WdXvLaFw0kBZcMo/h6UAP/AOC+vhnXdG/4KofFjVtVtJIbW71hjA7DAYbR0r8mfAGg6t4h8a6ZpmgwNc3ElwhWNBk4DCv9aH9iP9iL9jL/AIKVfsYfD/8Aaj/ag+H9j4l8T+JLEXd1c3YLOzsSCSQa+v8Awh/wRL/4JgeBNct/FHhf4T6RZXtqcxyIDlT7c0AfYX7HVhJYfssfDy0njKSp4fs1YHsRCvFfS5IXgD8aytG0rTtA0u20TRohDZ2kSxRIvRVUYUD6CvJP2kfGOofDz9n/AMY+ONLYrdaVpFzdREcENHGWGPyoA9pRCcsec96/GT/gvl4q0LSP+CV/xZ0TU7qOC5u9HZYEY4LkEfdr/N5+L3/Bf7/gp94g+IGpah4T+J+raRp5mZIrVGXChWIr5D+Of/BVH9vP9pTwrJ4J+NnxF1HXtMmQxvBOw27T26UAfns5QkbRjHWv6Yv+DUnxJoPhn/gqppWpa5cJZwHSLlN8hwNxAAFfzOyEEDAxXqnwl+M/xJ+BPjCHx98KdUl0bVoF2pPDwwBoA/3kIZhcgTwMGjdQVI6e1fxU/wDB574X1/XP2Zfhnd6PavdC01aZ5mjHCrs6n2r+Omy/4Ltf8FWLOFLSD4w6wkcahVG5eg4A6V/U9/wbwftO+Lv+Cvet+MPgX+32X+IFh4b05biH+0juGXbacAY7UAf59L5Y56k1FX+zc/8AwQd/4JPqm9fg7owHrtbj9a/gg/4Od/2BPgf+wt+0H4P0X4GaTb6Lpuv2Mty0Nuu1RtbAoA/lwr/VZ/4NKvFOhXP/AAS707w59rja/j1a6cwA/MFyMHHpX+VWGG7JGQK+2v2cf+Civ7ZP7JukHQf2ffHN94atPmPl2xAGW69qAP8Ab/v9QtdIsZNS1OQRwRrl2bgKBX+Mh/wXM1bStd/4Kn/F3VtHlWe2l1hijoeCNo6Uuq/8Fzf+Cp/iDTJ9H1f4v6xLbTrsdGZcEHt0r8wPHHjvxX8SfFV3408a3b3+p37+ZPPJ95m9TQBV8Mywpr9i78ILiPI/4EK/3FP2FfEeg+I/2Sfh7N4fukuEh0Gzjcoc7SIlyK/wzUfy2E0Z2spBH1Ffpp8MP+Cxf/BR/wCDfhiHwZ8Nvihqml6ZbqqxwRMAoCjAHTsKAP8Aa7pAQelf4xh/4Lz/APBWAnb/AMLi1lf+BL/hSJ/wXm/4KvsQg+Mesj/gS/4UAf7OUiqybW6VDthwF6Yr/GUf/gvJ/wAFYgSq/GLWcL/tL/hSD/gvN/wVcQfN8YdYJP8AtL/hQB/s2AR+aD3ApAZDKQp4xxX+e9/wbV/8Fd/2zP2pP21Lb4BftB+Kb7xNaXNlPdCW5YYXYOBgV/oOtLhQYhuzx9KAP4qP+Dzzwr4g1v8AZm+GdzpNrJdC01aZ5mQcKuzqa/zcyCP3uea/3afj7+zH8Ef2oPDaeDfjn4et/EGnx5KRXAyoyOelfn0f+CDf/BKIfuP+FO6Nu9cH/GgD8J/+DMPwtr+g/s1fEq41m0e2F3q0MkLOMB12dR7V/a58+Rk8V4F8AP2Yfgj+zH4Zfwf8D/D9v4e098borcYU4GBXvHmfJ+9G0CgCUbsn0pGic7fLOAKTJByTgGnkuVMY444NAH+Mz/wXsV/+HrXxgPb+2G/9BFfkh4eGdfsAP+e8f/oQr9cv+C9MhT/gqt8XEcZxrDZ9/lFfkroQjXxBYSRnOZ4+PT5hQB/uKfsFkH9kX4f4/wCgFZ/+ilrpv2z/APk0v4j7f+hdvf8A0S1cz+wlF5X7Ifw+yPLzoVn/AOiVr6V8VeHNK8WeGbzwp4ht1vbDUomt7mJvutG42sp9iKAP8E7xH/yMOof9fEn/AKGaxK/2c7j/AIIQ/wDBKa5maWX4OaMzyElm2nqfxpy/8EGP+CT6jB+DmjHH+y3+NAH+MVRX+zt/w4Z/4JPf9Eb0b/vlv8aP+HDP/BJ7/ojejf8AfLf40Af4xNf2+f8ABlD/AMnJ/FT/ALA0P/oyv69JP+CDP/BKJTvHwb0Y9sbW/wAa+ov2Yf8Agnl+x9+xhr174k/Zn8DWPhe81WMQ3UloCCyKcgH2oA+5iQOtf5yP/B6uP+Mhvhfjp/Y8v/odf6MciEEuW49K/wA5v/g9MlP/AA0L8MMphf7Hm/8AQ6AP4eCpXqMV/q6/8Gkn/KKHS/8AsMXX/oQr/KQZndd7Djpmv9W//g0k/wCUUOl/9hi6/wDQhQB/UDRRRQAUUUUAFFFFACDqaWkHU0tAH//Q/v4ooooAKKKKACiiigAooqN5FQgHvQB/nK/8HrP/ACcN8L/+wPL/AOh1/Dun3q/uI/4PVFZv2ivhcw/1Y0abP/fdfw9KFDbu1AH+p7/waY6xpFp/wTF0+K7u4opP7VuuHdVPX0Nf1HL4j8PORi+tlYdR5i/41/hN+Cf2jfjz8N9JGgfD/wAX6totipLCCzuHiQE9TtUgV15/bQ/az3bv+Fj+If8AwNm/+KoA/wBzxfEfh5WONQtz/wBtE/xqX/hJvD//AD/W3/fxf8a/wvf+Gzv2s/8AopHiH/wMm/8AiqP+Gzv2s/8AopHiH/wMm/8AiqAP90L/AISbw/8A8/1t/wB/F/xo/wCEm8P/APP9bf8Afxf8a/wvf+Gzv2s/+ikeIf8AwMm/+Ko/4bO/az/6KR4h/wDAyb/4qgD/AHQv+Em8P/8AP9bf9/F/xqJ/Efh84Jv7cf8AbRf8a/wwv+Gzv2s/+ikeIf8AwMm/+Ko/4bO/az/6KR4h/wDAyb/4qgD/AHOm8QeHF+YX9sW7fvE/xr+Zf/g6+1fRbv8A4JU6paW97FJIdXtTtRlY9fQGv8y7/hs/9rT/AKKR4h/8DJv/AIquR8a/tHfHv4kaKfDvxA8Y6vrNgxDG3vLmSRMjodrEjigDxb/Gv7eP+DKH/k5P4qf9gaH/ANGV/EQsZ272+7X9vX/BlNtX9pT4plen9jRf+h0Af6OcmeMDIr/OL/4PUh/xkd8LjEM/8SebJ9Pnr/R1Zxt4r/OK/wCD1XCftH/Cwj/oDTcDp9+gD+I5fkXyWXBPOat2elareN/oNvLKv+wpb+Qqg43LvU8V/pc/8GrH7Fv7PvxA/YCs/jT4/wDDdhrep3GoXFsftsCSjaDgfeBoA/zdtE8AeMfEus2+gaNp1xJNcOEjUxsMk/hX+yX/AMEV9Mn+G3/BMX4TeEPFskVlqVlpKpLDIyqQ2Txzivtm3/Y7/ZWs7iO7sfh34fikjOQy2cII+ny1/lp/8F1P20/2hfDH/BRDx/8ACD4feJL/AMOaH4Y1NoLO202d4EVcdNqEADmgD/WK1zXNEudBvY4r23dmt3G0Op52H3r/ABLf2/8A4PfETwH+1x47h8Q6XNF9u1q7uIdilgUaViDwPQ0z4Q/t/ftceCPiJpniCLx5rd7snVTDcXcrIwLAcgtiv9hL9nf9nT9nz4r/ALP3gfx9498EaLqWp6lolrcTzXFrG7F3jVmJZlyeaAP8fL/gn98GviL8QP2uPAkXhrS5pTYa1aXE29WUBFlUk5x6Cv8AbP0fXtCstCsYZ723R1gQbS6jkIPevjn9ob9nb9n34UfAPxx4+8B+CdE0vUtN0S6ngmt7WONldI2ZSGVQRgiv8ff4vft+/taeOviJqevS+O9bst07KsNvdyqihWIGAGAFAH+st/wWq0q5+I3/AATD+LHhLwlJFeahe6SyRwxsrEtkcADNf42Wu/D/AMX+HdXuNE1TTrhJ7VikgEbcEfhX79/8EL/20f2h/Ev/AAUQ+H/we+IPiS/8R6H4m1NYLy21Gd5oymOm1yQRxX+pTd/sg/spy3L3F98OvD8kkhyWNnCSfr8lAH+F3eabqdoQ1/bSwj/bUr/MVnodnOMg8V/pe/8AB1N+xT+z18Pv+Cft58afAPhuw0TVINRtrdfsUCRDax5+6B6V/mhbFxu7UAf28f8ABlKCf2kPimr/AHTo0P8A6HX+jYGZSySKFRelf5yP/BlIM/tJfFPPT+xof/Q6/wBHBEjeU4J4/KgCncapp9mPLvZ47fP3d7BePxqo3iTw+V/d3tsx6f6xP8a/hA/4O/P2tvjf8C/in4C+HXwu1u70a11jSpJZntJWibKvgY24r+I+0/bW/a0tLuO7HxF8QMYnDhTeTYODnH3ulAH9DX/B2d8K/HF5/wAFIb34mWNi9xo0+l2sCTxAsNwXp8oxX8uWheAfGPiPV7fQ9K064kuLpxHGvlsMk/hX+qr/AMG71z4Y/bW/4Jv6V8S/2j9BsPFGsf2jNbefqMSzsVjwF+ZwTX7qQfsefsp6fOl1B8O/D8ci8qyWcIIPt8tAHxT/AMEU9Jn+HH/BMT4TeEvGEkVlqNlpKpLDI6qVbJ4wcV+qSa9oEw8oX1uWbsHX/Gv8lj/gul+2j+0P4a/4KHfED4PfD/xLf+G9D8Nam8FnbabO8KKuOm1CABzX5g/B79vj9rnwT8RdK1+Dx7rd5JFMq+VPdysjAsByC2KAP9vtB0WPlSM5r5l/bReKP9k34i+b/wBC9e4H/bFq6P8AZX8QX/ij9m3wN4l1Vt91faJazSt1JZolJrA/bL5/ZL+I4fr/AMI9e4/78tQB/hneIxJJ4l1BgowtxIcdvvmsQKZ5l8ldzN/CBWx4hyfEV/GTz9ok/wDQjX6M/wDBHf4W+GvjH/wUg+F/w08ZQrPp2qaoIZ42UMCMHseKAPzgHh7X35+w3GO2I2/wqrc6Zqdin+m20sQ9XUr/ADFf7kvhf9hj9kjw7oFtoNv8PdAmW0QR75LOElsdydtfzE/8HU/7F37PXgH/AIJ/Xnxo+H/hqw0TU7bUba2H2KBIhtY4P3QPSgD/ADRt4KiIAH3r+3L/AIMqomP7SvxUjc4I0aH/ANDr+IlRt+fsK/t5/wCDKhjL+0r8VHbj/iTQ/wDodAH+jY7fMsEa7l71/nJf8HrQI/aQ+Fip90aNN/6HX+jeWR3JTqtf5x//AAesAH9o74Wev9jTf+h0AfxDud3IGAKv2ml6jfDNrbyyj/YUt/IVT8sY8wdBX+l7/wAGrX7Fv7PnxA/4J/Wfxp8feG9P1vVJ9RubZvtsCSjap4+8DQB/msDw5rwBaSxuAB/0zb/Csl45YpNsilWHUEYr/cu8SfsN/sjeKdButBb4eaDbrcoYzJHZwhhnuDtFf5A//BYf4W+Gvg9/wUh+KHwy8FxLb6bpeqNFAigKqgAdhwKAPzI2YHzdewrVi0HW50zBZzup7qjEfoKdo1tHNr1latyGnRW/FhX+zT+wD/wT/wD2U/Cn7J/gme58E6PqVxqWkWt1LLdWsTNuaJSeSD60Af4ys2h63bDM9nOij+JkYf0rLYqPkHQd6/2f/wBv/wD4J9fsn+MP2TvGktr4K0fTLjTNIubqKW1tYkbckRI5AHHFf4zXiCzW21y8touPLndcdsBiBQBj26PJMsQBOT0AzW3HoOvplk06d1PQ+W3+Ffox/wAEcvhh4X+Mf/BSL4X/AA38aQrcabqeqrFPGyhgRg9jxX+wB4Y/YS/ZH8NaHbaJF8PtBnW3QIHks4STj1+WgD/OI/4NNfhZ46tP+Cj9l8UL+ze30SDTLmB55QVAYrwPmAFf6hya94eI5v7dfbzE/wAa/m3/AODiSbw1+xH/AME4dU+Jf7OWhWHhfVjqMNuJ9OiS3cLJkHDIAa/zGLv9tf8Aa1u7uS8PxF8QKZXL4F5NgZOcD5ulAH+51Ff2N5H5NjcRy56lGDY/KrJgU2/2bf8ANj71fwVf8GgP7Wvxu+OfxS8ffDv4oa5d6zaaPpUcsD3crStlnx/FX98WwYoAy5r2xsIwl7cJFgdXYL/OqD69oAGBf27e3mL/AI1/CF/wd/8A7W/xv+BvxP8AAPw4+F+t3ejWms6VJLO9pM0TZV8D7uK/iQsv21/2tbK6jvV+IviBjE4bBvJsHBzj73tQB/ueRXVvPEGidZIz0ZSDz+FTtExQKWIxX8+v/BtJ8e/H/wC0Z/wTW0r4g/Ey7e91EajPb+ZKxYlUwBy1f0GqwaQjuPyoA/xmv+C9Rh/4esfF4I24jWGz/wB8ivya8PNDF4g0+Qc/v48j/gQr9bv+C+C7f+Cq/wAXHAHOsN0/3RX46xTPDKsqcFelAH+4x+wl4h0RP2RvACy38BYaFZ8M6jH7peOtfWn/AAlHh4t5f2+2XH/TRf8AGv8AC8079rv9qLSLKPTdK+IGvW1vCoSOKO7lVVA4AADYAFXf+G0P2stuP+FjeIf/AANm/wDiqAP9zg+JPDv3Ev7bjr+8X/GpU8SaAF/4/wC2/wC/i/41/hg/8NoftZbcf8LG8Q/+Bs3/AMVSf8NnftZ/9FI8Q/8AgZN/8VQB/uhf8JN4f/5/rb/v4v8AjR/wk3h//n+tv+/i/wCNf4Xv/DZ37Wf/AEUjxD/4GTf/ABVH/DZ37Wf/AEUjxD/4GTf/ABVAH+52/iTQM/8AH/b/AE8xP8aa3iXw3jzBqFuB/wBdF/xr/DH/AOGz/wBrT/opHiH/AMDJv/iqX/htD9rLP/JRvEP/AIGzf/FUAf7nA8TaBJjF7bbT/wBNF/xr/Ol/4PSNRtLr9oX4YpYSx3Cf2PNkowbHz+1fyPn9s/8AayJz/wALG8Q/+Bs3/wAVXlvj74u/E/4q3cN98S9fv9emt12RPfTNMVHopcnAoA4JkTIWJsjHNf6tn/BpJ/yih0v/ALDF1/6EK/yiQSDxX+rr/wAGlXyf8EodLGOf7Yuv5igD+oKiq6yE/N0WpFkViVHagCSiiigAooooAQdTS0g6mloA/9H+/iiiigAooooAKKKKACoZo0kXy271NUMpPAFAH+fP/wAHifwI+MvxW+P3wzvvhj4Z1LXra10iVJWsYHmCtv4BKg4r+MRv2Nf2sm5/4Vv4h44/48pv/ia/3QbvStLulEl9bxTMO7orflkVVi8NaD/y0sLY/wDbNP8ACgD/AAw/+GMf2s/+ib+If/AOb/4mj/hjH9rP/om/iH/wDm/+Jr/dC/4Rjw3/ANA+2/79r/hR/wAIx4b/AOgfbf8Aftf8KAP8L3/hjH9rP/om/iH/AMA5v/iaP+GMf2s/+ib+If8AwDm/+Jr/AHQv+EY8N/8AQPtv+/a/4Uf8Ix4b/wCgfbf9+1/woA/wvf8AhjH9rP8A6Jv4h/8AAOb/AOJo/wCGMf2s/wDom/iH/wAA5v8A4mv90L/hGPDf/QPtv+/a/wCFH/CMeG/+gfbf9+1/woA/wvf+GMf2s/8Aom/iH/wDm/8AiaP+GMf2s/8Aom/iH/wDm/8Aia/3Qv8AhGPDf/QPtv8Av2v+FL/wjPhz/oH23/ftf8KAP8Lz/hjH9rP/AKJv4h/8A5v/AImj/hjH9rP/AKJv4h/8A5v/AImv90H/AIRnw1/z4W3/AH7X/Cj/AIRnw1/z4W3/AH7X/CgD/DDj/Y0/azQ5Pw48Q4/68pv/AImv7NP+DOv4F/GD4WftE/E+9+JfhfU9At7nR4Uie+geFWIfopcDNf6Ab+GNB42WNsD/ANc1/wAKt22jaZZ5ksLaKBz3RQP5AUAWtvlgQfw9q/gl/wCDvb9kf42fG34meBPiN8LtEvNZs9G0uSKeO0ieVtzNkYCg1/e+quF+f5iKzrvS9PvcS31vHPjoHUNx+IoA/wAMay/Yp/ayvLyK1Hw68Qr5rhATZTYGTjn5a/06v+DeG18NfsTf8E4NK+GP7Ruvaf4Y1c6jNcGDUJVgYLJgr8rkGv6Rf+EX0AR/urG2Un/pmv8AhX+XV/wdlfFHxvpn/BSS++GWnXr2+jQaXazLBESoDFeT8pHpQB/o8eJv25/2S/Deg3etj4haDOLSMyFEvIizY7ABq/yAv+CxXxQ8L/Gb/go58TviT4OmWfT9U1RpYZEYMCMDoRxX5yf8JL4h3FFvrjDcYLt/jWNK0jTFpWLN3JoA1PDn/Iw6f/18R/8AoYr/AHQf2MBj9kr4cf8AYu2X/ola/wAL7w4MeItPz/z8R/8AoQr/AHP/ANi91/4ZN+G6Z5/4R2y4/wC2K0AX/wBqvw9eeLv2bvHPh3S0Z7q+0S6giUDqzRsBwK/xgPjH+wF+1v4F+I2p+HZvAet3rRTsfNt7SVkILHGCFIr/AHA5U3r5b9D19MVjnw14dZtr2Fucdyi/4UAf5LH/AAQt/Yt/aE8Nf8FDfh98X/iB4a1Dw5ofhrU1nvLnUoHhRVxjO9wABzX+pVefth/ssWk7Wc/xD8PRPEdrK95CCPw3V8W/8FrdTufhx/wTF+LXi7wkkVnfWeks8MsaKpU5Hpiv8a7XfH/jLxLq9xreralcPcXLb3O9hkn8aAP9VL/g4ii8Nfts/wDBN7Vfht+znrth4n1gajDcC306VZ3Kx5LYVCTX+Y/c/sU/tbW1zLaN8OvEB8piuRZS84OOPlr+hz/g0y+Kfjm//wCCklj8NtRvXuNGm0u6maGUlgWC8Hk4/Sv9RKTw14cf5ZdPt+Oc+Wv+FAH8I/8AwaD/ALIfxw+B/wARfHfxJ+KWi3WjWes6XHFBHdQvE4ZXychsV/erEVx8orNt9K060G/T4Y4AeDsULx+ArUjCqNq9BQB/nD/8Hr3/ACcn8K/+wNN/6Mr+IOv7fP8Ag9e/5OT+Ff8A2Bpv/RlfxB0Af6Y//Bqt+2l+z38P/wBgC0+DHj7xJp+iapb6hc3J+2zJENrHjhiPSv6dPEv7c/7JnhrQLvXbj4haBOtrGX2R3cJY47Abq/w2LPUtTshssriWL2RyP5Vbk8QeIsbHv7gg9vMb/GgD9HP+CxHxP8LfGX/go78UPiT4OmWfTtU1RpYJEIYEYHQjivzi8Pz/AGfWrSQnCrOhOfQMKyHeWVy0jFi3Umkdl4UDkUAf7P3/AAT7/wCCgP7Jvif9k3wVBceNdI02fTdItbSWG7uo0bckYU8EjjivcP2jP2hv2efiv+z5438C+BfHGiajqWpaJdW8EFvdRuxZ42VQFVs8mv8AEmi13W7dQsN5OijsrsB+QNfZ37BPxW+IHgn9rLwFdeHtTmj+265aW8oZmYFWlUEYzQAnxf8A2BP2tPA3xC1Lw9J4D1u8ZJ2bzoLSVkIZjjBCkV+rX/BBb9hT9p63/wCCkHw5+JHibwlqmj6b4f1RZZ5Ly2kjGMdiwA71/q+6J4c0G60SwmurK3dzAhyUXrtHtXQw6Ro1mfNtLSGJvVUUH9BQBdJKHD/hiv58/wDg5b+AfxC/aL/4Jpar4B+G9nJe6j/aUFwIolLEqmScKvNf0Hq+04J69KheGG5XyrhVkX0YAj8jQB/heXP7FP7W1tcy2jfDrxAfKYrkWUvODjj5a/t2/wCDQf8AZD+OHwP+Ivjv4k/FLRbrRrPWdLjigjuoXicMr5OQ2K/u4bw14ddtj6fbnHP+rT/CrttpOn2fNhBHDng7FC8fgKALJKYEYHBr+CX/AIO9v2R/jZ8bfiZ4E+I3wu0S81mz0bS5Ip47SJ5W3M2RgKDX98O0BdijgVmXel6fe4lvreOfHQOobj8RQB/hi2X7FP7Wd1dx2v8AwrrxCvmMEybKbAycf3a/04f+DduPwv8AsTf8E39K+HH7ReuWPhfWDqM05t9RlWBwJMFcq5Br+k8+F9ACfurG2U9f9Wv+Ff5dn/B2Z8VfHOnf8FJL74Z6dfPb6PBpdrMkEJKgMV5PykDt6UAf6S9r+2J+yrdzrZ2/xD8PyvL8qql3Dk/gGr/LU/4LofsWftC+Jv8Agod8Qfi58OvDWoeI9D8Sam01pc6dA8yMuOoZQQRxX4DaB8QPGnhrVoNc0fUrhLi2YOjb2OCPxr/ZT/4IoatP8Rv+CYXwo8X+MI4r3ULzSFeWWRVYscn1zQB/kyfB39gP9rTx38QNO8OJ4D1uyaSdW864tJVRQGGckqAK/wBgX9nj9oX9nv4Tfs9+CPAfjvxxomnalpui2tvPBPdRoyskaqwKs2Rgivs7XNA0O00G9ubSygR1t3IIjUfwn2r/ABJ/2+Pi34/8a/tb+PJvEOpzSfYtbu7eJUZlCosrADAPYCgD/Wa/4KA/8FAv2TPCn7J3jSC38a6RqU2p6RdWkMNpdRO25oio4Unjmv8AGd1+RZtZu5AdyvO5X8WNQSa5rNwpjmvJ2X0Z2I/nWSCu07utAH6//wDBB0Kv/BWD4OL3Gsrn/vk1/s6joK/xh/8Agg1/ylh+Dg/6jK/+gmv9nmgD+X7/AIO2/wDlFDqn/YYtf/QjX+URX+rv/wAHbX/KJ/U/+wxa/wAzX+URQB/b5/wZQ/8AJyfxU/7A0P8A6Mr/AEfK/wA4P/gyh/5OT+Kn/YGh/wDRlf6PlAH+cH/wevf8nJ/Cv/sDTf8Aoyv4g6/t8/4PXv8Ak5P4V/8AYGm/9GV/EHQB/q4f8Gl8KT/8EndK8zoutXXT6iv6gcr+Ar+YL/g0o3f8OodN5+X+2Lrj8RX9PMe3bzwOwoA/yFv+C437Kv7SHjH/AIKgfFjxP4T8Da5qNhd6szxT29pK6ONo5VlXBH0r8lf+GMf2s/8Aom/iH/wDm/8Aia/3RJNB0S5cz3NnA7N1LIpP8qZ/wjPhrtYW3/ftf8KAP8L7/hjH9rP/AKJv4h/8A5v/AImj/hjH9rP/AKJv4h/8A5v/AImv90EeGvDR/wCXC2/79r/hQfDXhof8uFt/37X/AAoA/wAL7/hjH9rP/om/iH/wDm/+Jo/4Yx/az/6Jv4h/8A5v/ia/3Qf+EZ8NDrYW3/ftf8KP+EZ8Nf8APhbf9+1/woA/wvv+GMf2s/8Aom/iH/wDm/8AiaP+GMf2s/8Aom/iH/wDm/8Aia/3Qf8AhGfDX/Phbf8Aftf8KB4a8NdBYW3/AH7X/CgD/C+/4Yx/az/6Jv4h/wDAOb/4mj/hjH9rP/om/iH/AMA5v/ia/wB0H/hGfDX/AD4W3/ftf8KD4a8ND/lwtv8Av2v+FAH+F9/wxj+1n/0TfxD/AOAc3/xNH/DGP7Wf/RN/EP8A4Bzf/E1/uhf8Ix4b/wCgfbf9+1/wpB4a8NH/AJcLb/v2v+FAH+F9/wAMY/tZ/wDRN/EP/gHN/wDE1/qEf8GsPgLxx8Nv+CXum+GPH2kXei6gurXTmC8jaJ8EjB2sAcV/Rz/wjPhr/nwtv+/a/wCFX7eytbOL7PaxJCg6BAAPyFACtCswQy9V9KsowLFQMYqBVk5Xv61LCWxtfqKAJqKKKACiiigBB1NLSDqaWgD/0v7+KKKKACiiigAooooAKhkZRgH8qmqGQcbgORQB8l/tH/tufsxfskQxXH7Qviu08OQTp5itcnAwOO1fGP8Aw/m/4JQum3/hcejLg/3m/wAK/km/4PR/E3iHT/jv8NNBguXhs7nSJTJAp+ViH4yK/htVWA8zHFAH+zgP+C9P/BJ/H/JYtH/76NO/4f1f8EoP+iw6N/32f8K/xiKKAP8AZ3/4f1f8EoP+iw6N/wB9n/Cj/h/V/wAEoP8AosOjf99n/Cv8YiigD/Z3/wCH9X/BKD/osOjf99n/AAo/4f1f8EoP+iw6N/32f8K/xiKKAP8AZ3/4f1f8EoP+iw6N/wB9n/CvcfgV/wAFV/2B/wBpbxVF4H+CfxF03XtUmcRpBbsSxY9B0r/EXr9m/wDggP4m17SP+CqHwm0rTLp4be81hVmjU4DDaetAH+yr8sfDmvLfi78Z/hp8BPB0vxA+LGrRaPpFucPcTcKM16egBzjnFfzP/wDB1v4i1rw1/wAEqtVv/D909tKdXtkLIcHaSQR9KAPu2f8A4Lw/8Eo7WZ7ab4waMrxkqw3HgjjHSmf8P6v+CUH/AEWHRv8Avs/4V/jGyyPNI00hyzHJP1qKgD/Z3/4f1f8ABKD/AKLDo3/fZ/wo/wCH9X/BKD/osOjf99n/AAr/ABiKKAP9nq3/AOC8P/BKO5mS2g+MGjM8hCqAx5J4A6V/ID/wX4/4J1ftA/8ABSH9qqT9r39inRrnx74ev7KC0SSwUFcxrzycetfxExSSQyrNEdrIQQR2Ir/WL/4NSvEes+Jf+CVWk3+vXcl3MNXuUDycnapAA+goA/z4tU/4IYf8FTtF0641nVfhDrEFvbJvdyq4AH41+XvjnwL4r+G3iu88F+NrJ7DU9Pfy7iCT7yt6Gv8Aew1DTbTV7KTTdQjDwyrtdD0Yelf4yH/BczSNM0P/AIKnfFzRNKhW2toNYZVRBwBtFAH5TaTOlrqtpdyHiOZH+gDA1/rIfsM/8F5P+CckX7MvhHw78RviLpfh/U9G0u2snilY7sxxhT/Kv8l9lMakYyOxpu1cfe+X+tAH+1p8L/8AgsP/AME4fjL4mh8FfDj4o6XqupzFVSCJjuJbgdq/S6OWK5jE8L5QgEfSv8M39hbxPr3hn9rf4fTaLdyWjTa9ZxyGM4yplXg+1f7i3hqVJPD9hIeFNvHz/wABFAHwr/wVV+B3iz9pT9gf4i/BPwPA9xqWvaa1vAkYyxOR0Ff5XniT/ggV/wAFTNK1u60/TPhLq9zbwOUjmCrhwO45r/ZNjj+beh+X0pu1TL1z7UAf5yf/AAQG/wCCd3x9/wCCb37TyftgfttaVc+AfD+n2c9mzX4Crl1+U5GfSv69Zv8Agu//AMEprN2tZ/jFo29GKsNzcEcY6V8Lf8HXPiLXfDn/AASu1S90S4ezmOrWqb4zg4JII+lf5Ps7zTyNdT8lzkn1NAH+5p+zh+25+zF+1xDJcfs9eK7TxHBAnmM1scjHSvrVGByB27V/nR/8GXHibxDf/Hf4l6DcXLy2dtpERigJ+VTv7Cv9FuIZG4jBoA/zif8Ag9e/5OT+Ff8A2Bpv/RlfxB1/b5/wevf8nJ/Cv/sDTf8Aoyv4g6AJ12hN+7n0oG0OCefaliZI/mxuPpUjsrvlhsx0xQB+g/wO/wCCVf7e/wC0x4Zj8a/BH4c6jrmlzIJEmt1G0qeh617d/wAOF/8AgrJ/0R3WfyX/ABr/AE1v+CAvhjQtI/4JZfCjVtNtUinvdHQzSKMFjk9a/aGgD/GI/wCHC/8AwVk/6I7rP5L/AI19XfsZ/wDBDH/gol4Y/aE8M+Pvi98PNT8N6D4b1CDUri7nUbVSFw7E9eABX+uTXzJ+2NeXVn+yr8RLmzYpLH4fvCpHYiFsEUAfEusf8Fsf+CY/w2uIfBviz4r6TaahZxrHLC7HKlVA9PaqMn/BeX/gk8qkD4w6MT6bm/wr/HD8e63rHiXxjqOoa5O1zcvcPmR+SfmNchsIyh69/agD/Zqj/wCC8P8AwShkAdfjBoxI9z/hX07+zj/wUY/Y0/ay1Q6H+z943sPEN2N37u2JJ+Xr1Ff4eQLD7nSv6l/+DSnxHr8f/BUHTvDkd0/9nPpN07QZ+UsFHOKAP9V2iiigAooooAK/z0/+Dlj/AIJCftk/tUftr3P7QP7PPhO+8TWlzYwWvl2qggbBgnNf6FlQDAHI20Af41fhn/ggP/wVR1bX7TTNV+EusWdtPIFkmKrhR69a/wBU3/glV8CvE/7NP7BPw7+CPjON4dU0DThbzo4wwIJ6iv0KftSJ1PGBQBleJP8AkXb/AP69pP8A0E1/heftnf8AJ2XxG/7GG9/9GtX+6H4k/wCRdv8A/r2k/wDQTX+F5+2d/wAnZfEb/sYb3/0a1AHzJRRRQB+v/wDwQZ/5SxfBz/sMr/6Ca/2ea/xhv+CDP/KWL4Of9hlf/QTX+zzQB/MB/wAHbP8Ayid1L/sM2v8AM1/lDV/q8/8AB2z/AMondS/7DNr/ADNf5Q1AH9vn/BlD/wAnJ/FT/sDQ/wDoyv8AR8r/ADg/+DKH/k5P4qf9gaH/ANGV/o+UAf5wf/B69/ycn8K/+wNN/wCjK/iDr+3z/g9e/wCTk/hX/wBgab/0ZX8QdAH+hX/wbVf8Fdv2Nf2VP2JbX4C/tBeLLHwzd299Pc77liCdx4GBX9LWlf8ABcz/AIJW63qMGl6b8XdHmuLhgkahjkn0HFf4wUaSSHZ2FXLHULzSb2O/0+QxywncjDgg+1AH+9Z4F8f+FfiX4UtPGvgq7S+0q/TzLe4j6MvqK6mSaK1QzyvhAMn6CvyW/wCCGWq6lrv/AASx+EWsazO0802jqzu3UnJr9TvEsqR+H76QcqLeTn0+U0Afnb8T/wDgsP8A8E4Pgx4nl8FfEj4oaXpWpwkh4JWIYEcHt2pfhh/wWH/4JwfGbxPD4K+HHxQ0vVdTmKhIImOSW4Hav8fv9ujxNrvib9rf4gza1dyXbQ69eRxlznCiVsAe1H7C/ifXfDX7W/w/m0W7ktGm16zjkMZxlTKuVPtQB/uYxyxXMYnhfKEAj6Vyvj3x94U+GnhK88c+NrxLDStPTzJ55PuovqaveGpUk8P2Eh4U28fP/ARX5Y/8FztT1HQ/+CV/xe1fRp2gnh0dijJwQcjpQBLqv/BdL/glZoeoTaTqfxd0eG4gbZIhY5BHbpX0b+zn/wAFGv2Mv2tda/4Rz9nnxzYeI7zBPl2pJPy9eo7V/h+ajf3mp3smoX7mSaU7nY9Sa/qL/wCDSjxLryf8FQtO8NR3LrYyaTdOYQeCwXrigD/VUPLYzgivBfj1+098Cv2ZPDcfiz45eIbfQNPbO2a44Hy9ele6nYg2k/NX8Uv/AAed+K9c0H9mn4a2ui3T2gutWmjmWM4DLs6H2oA/en/h/F/wSj/1n/C49G2/7zf4V9+/AX9p74F/tNeG5PFnwN8Q2+v6emN01vyo3dK/wjvn2+1f6RX/AAZh+K9c139mn4lWutXT3QtdWhjgWQ5CLs6D2oA/thX5DjOTVmqClH+UH5qvAYGKAFooooAKKKKACiiigBB1NLSDqaWgD//T/v4ooooAKKKKACiiigAqKXG3npUtQyc/KelAH8mv/Bxj/wAEX/j/AP8ABTbxN4W8c/ASKCa/8P2DWyrcSiNSWbNfyn3v/Bpr/wAFXLO1ku5tL0fZEhYgXS5woz0xX+rzCBj6VF5aSMTJycYx7fSgD/Cn/ai/Zb+Kf7IXxVufg98Y7dbXWLVA7rGcjB6Y4HpXzcUIG7tX9Of/AAdnWtra/wDBVnU4raJYh/Y9qcIoUfd9BX8x+WBKpwDQAqwEr5h6U+2gkurlLaH7zsFH48CmoSG2enT0rY8OIZPEdiOP+PiP/wBCFAH74/Aj/g2j/wCClf7RPw/s/iT4D0rTRpt7GskRnnCMQwyOCPSvbf8AiEl/4Kw/9AvRv/Atf8K/00P2KLKzsP2Tfh0LWNIkbw/ZE7VC5Pkr6V9VUAf5Qv8AxCS/8FYf+gXo3/gWv+Fffv8AwTt/4ICftT/8E4Pj9o/7bX7YCWen+HvANyt/I9nOrnYBg/LxX+j7X5A/8F4ppLX/AIJSfGCe3do5F0ZtpU4I+YelAHwj4h/4OuP+CVvhjWbrQL7VNWM1o5jYpakqSPQg187/ALYP7YX7K3/Bw5+y9f8A7IX7ImoXU3iGe5W8iivF8gHyMk8k9K/zB55JLhvOnYu7dzyfxr+n/wD4NKri8i/4KsaXZea3kto102wE4ztHbpQBHe/8Gk3/AAVZF3KLTTNHMIc7M3S5xnjt6VW/4hJf+CsP/QL0b/wLX/Cv9XqigD/KF/4hJf8AgrD/ANAvRv8AwLX/AAo/4hJf+CsP/QL0b/wLX/Cv9XkgHrTML60Af5Sdn/waTf8ABVg3kQvNM0cQ7xvIul+7nnHHpX9+f/BFf9hLxd/wTz/Yt079n/xrt/tCG7kuZArbwDJjODX684X1qJkYvnI29KAAoCQAelf4yv8AwXlib/h7B8Y3HT+2W/8AQRX+zNEyiRogD8vev8Zb/gvFgf8ABWL4xBf+gycf98igD8iIIZbu5S2i5Z2Cr+PAr+gf4Df8G0n/AAUr/aH+H1n8SvAmlab/AGdexrLF584RirDIOCPSvwN8OIZPEdiOP+PiP/0IV/uW/sUWVpYfsmfDr7LGkSN4esydqgZPkr6UAf53f7K3/Br/APt1/A74uaX8b/2hLXT7Tw94SuI9Vme1uAzbbdt7ccdlr+pTxZ/wdEf8EufhNrB8D+INV1RrnT0WF/Ktyy5UbeCD7V+3X7Zsklv+yf8AEZo+MeHrzGO37lq/w0fE91Pd+Jb+SeRnka4kBZzk/ePrQB/qnH/g7W/4JQL01PWeeg+ymon/AODtL/glCemp6zj/AK9Gr/KXdfLIA6rTBkHzelAH9t//AAX8/wCC/X7LH/BQP9lqb9nj9nae6uIZ7mG5ZrqExtujPPNfxHb2Xp06U8B1HmjFMXZn95+GKAP7eP8Agymz/wANH/FLHT+xof8A0Ov9HJCUynp0r/OM/wCDKgi3/aO+Kcj/APQGh4/4HX+jSBuQy23Dv69qAP5Pv+DjD/gi7+0D/wAFOPFvhbx18BY7eW/8PWD2oS4lEaZZs1/K1/xCT/8ABWHp/ZmjY/6+h/hX+rcgZY8ZG89aZK+V+fke1AH+Up/xCV/8FYI/nOl6MR/19L/hW94Y/wCDSz/gqDPrdnH4m07SE04yDz2S6XcF74r/AFUEz5v+zimtAGO9ug6YoA/lp+Ef/BX39hD/AII8fAPwj+xD8ftTvk8Q+Dbb+z7lLaLzgrLk9Qa9Z+Hv/B03/wAEuPiP4vtvBmharqi3d022My25Vc8Dkk4Ff57P/Bei8ubj/gq18YIpZHZE1htikkgfKOg7V+TnhO5ubXxJp8ts7ROLiPDKSD94elAH+9T4Q8T6b408M2HivRm32epQLcQn1RwCv6Vwvx38ET/Er4L+Kvh3Yf6/WtLnsk7fNKhUc/jXAfsZGWX9k74cyO2X/wCEesuT/wBcVr6XMbs/ONmKAP8ALb+Kn/Bpd/wUofx1qE3w6sNLm0yWVnjaa6AbDEnpXwF+15/wb+f8FAf2J/hzc/Fb4yabYLpVjEZpntpvMwq+uBX+xDvcfIcZr8cv+C8tlp9x/wAErPi/Pdwh5YtHbaxAOOR0OOKAP8ah1Ysc/kK/XT/gip+3V4Q/4J4/tr6d+0D47LDToLOS2k2LvOJMDgfSvyKik8uTzF7VJJFtk+f5sjPFAH+rJZ/8HbH/AASoNpEbvUtYEuxd+LU43Y5x+NWT/wAHa/8AwSfU86nrP/gKa/ykFc+X5Q9aYQR8h6HpQB/q7f8AEWn/AMEoMZ/tPWP/AAFNN/4i2P8AglBuwNT1n/wFav8AKN2pjb/F+lJtLEIKAP8AV7s/+Ds//glFd3UdnHqeshpGCDNqQMk49a/d/wDZa/am+FH7X/wrt/jH8Hrh7rRrpzGjuMHIxkYr/CoMjIuwcEHgiv8AVz/4NMry4uP+CUOlS3TtM39s3QyxJOMj1oA/p0IWP73evw8/a9/4OCv+Cfv7EvxKu/hN8ZdSv01axlMMqWsPmBWX1weK/cNnK43DOa/xmv8AgvXfXk3/AAVa+MNtLIzxprDBVY5A+UdB2oA/uj+Ln/B2l/wThk8D31r8M77UptVmhZIlntiF+ZSOa/zMfjt41s/iZ8afFPxEtP8AUa1qc94nGOJXLDj8a8mAHl8g7u1O4kHmN24xQBEsZkJ8vtQkTOCR2pT8p46+1TtNIqZ4w3FAH64/8EGeP+CsXwc/7DK/+gmv9nRZlJx0r/GQ/wCCDS7v+Cr/AMHT0A1lf/QTX+zQ43MI26H0oA/JL/gtb+wp4v8A+CiH7FOofs++Bdv9oTXcV1HubYMx5xzX8BN5/wAGk/8AwVXW8lFrpujmAOwQ/a1ztzx29K/1YvNIXy0GPrRGfLTC8D3oA/k6/wCDc3/gjD8fP+CY/i3xR47+PEUEWo+ILFLUpbyiRQVbPGK/rO8xv8//AKqgc5j/AHeA/ao91z9nCEjzsfhQB/J3/wAHGH/BF39oH/gpx4t8LeOvgLHby3/h6we1CXEojTLNmv5Wj/waTf8ABWLp/ZejY/6+l/wr/VuQMseMjeetMkk+XLcgelAH+UqP+DSr/grEo/5Bmjf+Ba/4Vv8Ahn/g0o/4Kh3HiOzj8TadpEenGQCcx3S7gvfAr/VMXk+Z0p6qn+tA60AfE/8AwTt/Zx1T9kr9jfwR+z9rnNz4asRbSYO7kH1r658TeSdDvVPe2kwO33TW9tAHmevWsbxAqR+Hr4jvbSf+gGgD/DK/bRTH7WfxH2j/AJmG9/8ARzU39jFC37Wnw44/5mGy/wDRy1c/bNeVP2qviQgIK/8ACRXn1/1zUz9jJ5X/AGrPhwrEBR4isv8A0clAH+5R4YCLoFhj/n2j4/4AK/Kf/gvIEH/BJ74xOOn9jN/6EK/Vzw8scvhzTmPa3j6f7gr8o/8AgvJj/h098Yl/6gzf+hCgD/GQ4Reevav6eP8Ag0oH/G2HSwf+gNdf+giv5hWb5cN1HSv6dv8Ag0qz/wAPXNM2fe/sa6/9BFAH+roY/kwcZr+eH/g4Q/4JZ/FL/gpr8CvDXgz4RrE+qeHrqS6RZXEakldoya/oVGZB5c3JXnjpUoZVG5xyKAP8pIf8GlP/AAVgAx/Zejf+BS/4V/av/wAG+X/BLT4n/wDBMf4GeJPBnxZWNNU8QXUdzIInDqGVdpAPpX9C6lWw6ggt+lK6hzv7igB4QZGKsVCrKHEffFTUAFFFFABRRRQAUUUUAIOppaQdTS0Af//U/v4ooooAKKKKACiiigAqKYZTbUtQy/d9fagD8Uf+CrX/AAWl+EH/AASqfS7L4g6JPrl1qlubiGG3dVYqpxwDX4d2v/B6d+zVc30MJ+FusR+YwTeZkwATjP4V+fX/AAepu8n7R/wtVhtxo02B/wADr+ItX3Ltxlu1AH+iT+1T/wAEp9N/4OLGg/b5+AWvWfhY6iqWLJdgyMPJAyCVr4qb/gyq/aVdtrfFTRv+/L1+/f8AwaVuIv8Agk/pglOCdZuv5iv6eCD5f94joaAP84v/AIgrP2jc+T/wtLRs+vkvXo3wq/4MyPjF4Z8bWWs+OPiLpOo6fbyB5IEicFtpBGPyr/Qo2DytxGHNAIbCqenU0AcB8JPAcPw3+Fvh74bAh10Swhswy9D5KhePyr00YAx6VXd1AwnJoV1Iw/BoAsFwDivx+/4Lzqkv/BKX4woPvf2M3/oQr9cydv3j16GvyF/4LwfL/wAEofjBg/P/AGM38xQB/jM4ZDtTqK/SP/glf+3pP/wTm/apsf2iYbSW9+zW727RQkBir4yOfYV+byt5MglPzetMYLtLHgmgD/Rqsv8Ag9Y/Z0itIo7r4W6w8ioodvNTkgcmrX/Ea7+zb/0SzWf+/wAlf5wlFAH+j0f+D1z9mw9fhXrP/f1KT/iNb/Zr/wCiV6z/AN/U/wAa/wA4pAOrdu1PCDI2fNntQB/o5f8AEa3+zZjP/CqtZ/7/ACUsX/B6r+zY42f8Kr1nj/pslf5yJMRXd0x/DTHdJJQYxsHSgD/SM8M/8Hnv7NXiHxFa6JP8NtVtI7iQIZpJk2qD3PtXg37UP/BvDqn/AAV78W/8N6/Arxdp3hyz+ITnUTFcKznDcAZXjtX+fY8K+aUjbco71/s1f8EIAo/4JPfBwKef7GXH/fRoA/lM+FX/AAZkfGLwz42stZ8cfEXSdR0+3kDyQJE4LbSCMflX99Hwl8CQ/Df4W+HvhsCHXQ7CGzDL0PkqFGPyr0AENhVPTqand1AwnJoA+Z/2zd0f7JPxHVuf+Kdvf/RLV/hk+IvLOvXoxg/aZP8A0I1/ud/tn/8AJpXxH/7Fy9/9EtX+F94j/wCRh1D/AK+JP/QzQBlF9p29cdKcG3ODL83tUKhi2B1qc7S6j7nrQBDkA8dPSnkDfwMYp6rzvC7hT8mQeWg5Hf2oA/ab/gi1/wAFWLb/AIJZfGDWviJqOl3GrW2twJbyw2zBTtU571/WCf8Ag9R/Zu+6PhZrO/185K/zmWi4XYOP71Nwu8BT+NAH+1L/AMEw/wDgpx8MP+CnHwx1D4kfDfT5NMGmSLFPDKwZlZhnBx0r9PUiSIbY6/iI/wCDKvEf7OPxTdTu/wCJzD/6BX9uvy/fU4WgD+ez/gqN/wAHCHwM/wCCYvxPb4S+MPDV14g1RI0laO1kVWCv0OD2r8vfDH/B6B+zV4h1+z0J/hpq1mlzIEM0kybVB7n2r+er/g7T2P8A8FX9TZG/5g1r/wCg1/MEDhuePagD/QZ/ae/4N39W/wCCvni9v29vgR4v07w5Z+P3OotHcKzsQeAMrgdq8f8Ahz/wZo/GLwb4utfE/j34i6TqWl2J86W3SJ1LBMNwfwr+rr/ggxj/AIdQ/B4hcD+xl/8AQjX6z+JP+Rdv/wDr2k/9BNAH8bnxE/4OpP2Y/wBiK5sf2Z08DX+vP4Qt10qS4tZUCbrYCMjBHtXof7L/APwdvfs1ftHfFjTPhUPAmo6G+qTx28U9xMm3dI20Div8579s/wD5O3+JH/YxXn/o5qm/Y3j2ftZfDjPyf8VDZcf9tloA/wB0C2mgvrSC6C/K6q6/iM1+Sf8AwXnJ/wCHT3xj4/5gzf8AoQr9WvDjH/hG7BeuLaPH/fIr8of+C8bH/h078YEk4zozf+hCgD/GUb5o8hfxpyuIBgD5vX2oY7cRRtvB7U1chsSLmgCHjHvX6f8A/BMf/gmN8Uf+Cm3xOv8A4Y/DjUI9NfTI1lmmlUsqq5xk47V+Y6nadrLya/t4/wCDK6RW/aR+KSqNxGjQ/N/wOgCv/wAQVP7SIbyv+Fp6N/35ev5x/wDgpx/wTH+KH/BMj4mWPw0+JOoR6k2pRtLDNEpUMFOMjPav9q0ryG61/nHf8HqeW/aS+FsSrydHm/8AQ6AP4hsfLz+Ff6uX/BpVn/h0/pm3gf2zdfzFf5SQkUR+WR8w71/q4f8ABpV/yif0xeo/ti65/EUAf06Ksqf6xs+lf4yX/Befj/gq/wDGL1/tlv8A0EV/s3RnH8W7Ff4yP/BefH/D1/4wnP8AzGW4/wCAigD8ifPYD92cYqMlGXI4NQ0UAd58O/Bt94/8d6P4D007bnV7uO0jOM4aRgo4r+v34Xf8GcX7THxJ8H2ni2f4g6ZpX2pA/kTwvuXIB5xX8sv7GP8Aydj8OX6n/hIbLj/tslf7mHhbLeHLFSdv+jR8enyigD+Mn/gmL/wayeOf2I/2mdA/aE+JXjHTvED+Hbpbm2S3RlYYGO9f2pbTHH5mM46CrMQCoFBzipKAKO13G5xx6UrqjICwq7VVlJfAHAoA/L7/AIKff8FOfhf/AMEx/hlp/wAR/iVp0mopqMjRW8MThWZlGcDNfziD/g9V/ZwK4Hws1nf6+clSf8HqxeT9nD4V7/lH9szf+gV/nKfu9yonGP4qAP8Aal/4Jh/8FOPhh/wU4+GOofEj4b6fJpg0yRYp4ZWDMrMM4OOlfp4saRjbF3r+In/gyrxH+zj8U3U7v+JzD/6BX9uny43KcCgB/lf89OTTkSYOWJ+XsKZGQTgNn2p7btob7uO1ADlTLbv0qjqtk2oWM1nn5ZY2Qj/eGKubmGXXn0psb8YJ/wDrUAfwUftaf8GgHxQ+N3xv1v4n/Dfx7pWjWes3ct28Esbsd0rbuoo/ZJ/4M/vib8EPjfonxQ+JfjzS9atNGu4btIIo3B3ROGHX6V/evuPmhdvHrVugDG0i0OnWEFkv3Io1jA/3QBX5Kf8ABeZCv/BJ/wCMhP8A0Bm/9CFfsJX4+/8ABelsf8EoPjCnrozf+hCgD/GN3cDI6V+k3/BLD9u+6/4Jz/tVWP7RFtbSXgtrZ7d44SASr4yOfavzaCFmCZp7BImwDuFAH+jPp3/B6j+zpbWkVvc/C7WJJQih2EycnHJr90f+CUv/AAWn+EP/AAVWutU0z4eaJPol3pFutxNFcOrMAxwPu1/jlLIpj8pFw3rX9uH/AAZV7ov2j/immMN/Y0P/AKHQB/o7BW7kU0ADpTAwEXA3EU9HO0MRt9qADavmAqOfWrNVY3OcLyKtUAFFFFABRRRQAUUUUAIOppaQdTS0Af/V/v4ooooAKKKKACiiigAqGRMkH0qamlQRigD8Rv8Agqz/AMEWvhF/wVRn0y5+IGtT6LdaXbm3huLdFZlUnPGa/ECy/wCDLL9myxuor2X4o6wwidW2mFMHB6V/bsYwVx0pdi7dpGaAP4V/2rP+Cr2n/wDBuvcwfsC/AHw7ZeK/7ORL4veExsfPAycJx2r4yb/g9X/aTjOw/CvRs+nnPXwD/wAHar+V/wAFYtUKj/mDWo/8dr+X85PzGgD+3V/+D1X9pLn/AItbo2T/ANNn4r0X4Uf8Hmvxh8T+N7HQPHHw50jTdNuZFSW4SVyRkgDiv4RVBJ4re0BQviCwx0+0R5/77FAH+8J8JfHK/E74X+H/AIiIgjTW7CG8G3oBKobA/Oj4teOV+GPwv8QfER0EiaJYTXh3dCIlLY/SvH/2LNRtZv2Tfhy9vIksa+HrINsIbB8leOKf+2lqFlD+yd8RvtEiwqfD14BvIXJ8luBnFAH8OnxX/wCDzT4w+GfG19oPgX4c6RqWm20hSK4eVwW2kjoPpXr/AOy5/wAHD2r/APBX3xYv7Anx28Iad4cs/iC401ZrZmdsNySA2B2r+ALxCC3iC/x0FxJ/6Ea/WP8A4IMgj/grD8HD0B1lf/QTQB/Yp4n/AODMb9mfX9cvNYsviVq1uJ5CwhSFNq57D2rC/wCIKr9m/G+T4pawD0x5KV/bqzBW2evpTZColB7/AKUAfxGf8QUf7OH/AEVPWf8Av0n+FO/4gov2bv8Aoqms/wDflK/t+ooA/h7f/gyr/ZsgYZ+KesEnoPJSv5Pf+C0n/BKaP/gld8YtE+Htlqdxqdrrdu9xBNOoUlVOBwK/2OL1k8vaep6V/nC/8Hp13Z3X7R/wsjtZUkaPRpgwUg4/ed8dKAP4l2AB3jkV/WN/wRe/4N0/DP8AwUx/Z8i+PPjjxLfaDYTXEtuptlVhuj471/Jw+/IBr/Vv/wCDSdVP/BKTTG/6jF1/6EKAPiDwz/wZhfs0+HdetNcn+JerXUdtIHaF4U2sB2PtXg37Uv8AwcRap/wSJ8Vf8MEfAbwhp3iKy+H7nTTLcM0ZAXkcLxX97GAFxX+MV/wXjX/jbD8YQv8A0GW+n3RQB/R38KP+DzX4w+J/G9joHjj4c6Rpum3MipLcJK5IyQBxX99Hwk8cr8Tvhh4f+IiII01uwhvBt6ASqGwPzr/B70BQviCwx0+0R5/77Ff7kv7Feo2037J3w5e2kSWNfD1kp2EHB8leOKANf9s//k0r4j/9i5e/+iWr/C+8R/8AIw6h/wBfEn/oZr/dA/bMSSX9k34jJCN2fDt4AB/1xav8MfxVbTWnie/gu0aNluJMqwwR8x7GgDBDhcjHWlMeSNhyTQ2Bkr0NJGM8Dg0AfpX/AMEr/wBg6f8A4KNftTWP7Otvdy2P2i3e4eSAAsFTGevtX9n1l/wZWfs7yWcUs/xR1lJmRd6iFOCRyK/Br/g0utrj/h6nplwsTmEaPdAybTjO0cZ6V/q1qNv0oA/yTf8AguL/AMEO9J/4JRaRoXiXw3r95rel65dtbQy3Kqudq56LX84SuUHSv9G3/g9SvbOT9nb4YWqyI0i6xNlAQSPk7jtX+cewwBQB+13/AASm/wCC0nxf/wCCV0Op2vw90SDW7XVbhbiWC4dlUkDA4FfutZf8HqP7Rkt3FBcfCzRljZl3nzn4XPJ/Kv4fI3KOGHagsd27pQB/pU2H/BOL4D/8HKXwntP25PF2sSeENUupPsUg05Aw/cADGWrI8Nf8GYX7Meha7aazP8TNWu0gkDGF4U2tjsfavuD/AINKR/xqd0z/ALDN1/MV/T0kiGPcR0oA8G/Zf+APh39l74GaB8CvCTeZp3h63FvAxG3Kj2HSvaPEn/Iu3/8A17Sf+gmr6yna0i/gKyfEEjN4evwe9tJjH+4aAP8ADF/bQGP2t/iOB/0MV5/6OavGvh/4zv8A4feOtI8eaZ89zpF3HdRg8fNGwYfyr3D9tWxurf8Aa2+IsdxG0TN4gvSA4K5HnN0zXyweDigD+zj4Wf8AB45+018O/BNn4Puvh5peptZoE+0TTPuYAADp9K+U/wBvv/g5y/aE/by+BuqfA3XPCNl4f0/V7c28xtZWO5T6g1/Lv5i7QPSpIiWPlp1PSgCMBhJiPrTwV27nY7h2poQrLsbtQ20NkDigByl3+VR071+nf/BMj/gp58T/APgmV8UNQ+JHw202PUZNRjWKeCRioZVOcHHavzEiBPA4poGzcD6UAf26r/weqftK4L/8Ks0bH/XZ6/Rv4Y/Df4T/APB1P8I7j4o/FKceDNW8HBdPzpyiQp5g3Hl6/wA3CKN3YIO9f6P3/BljaXln+zd8UjexNEG1iEqWBAI2dv8A61AEdl/wZYfs2W93HNL8UNYfy3D7TCmCAc4rjv2qP+CrOl/8G6DQfsDfAHQLPxUdOVb5nvCY2PnAZOF47V/c9EI928V/lOf8HbGnXp/4Kqane+Uwh/se1AfBx9316UAfof4Z/wCD0z483uvWtr4h+GWj2llI4EsqyuSF9a/SDxL/AMEEf2cf+C1XhTSP2+r7xVd+GL3x4n9pTQ2MasuW4xlq/wA0+KKSeRY0UuzcBVGSfoBX+zn/AMEH7e4tv+CUvwfguIzGy6OvysNpHzHqKAP5/P8AiCi/Zu/6KprP/flKaf8Agyj/AGbx0+Kes/8AflK/uAooA/jE8B/8GrX7NP7E097+01J43v8AXJPCFu2qx211EgTdbAyDkfSvz2+JH/B5d8XvBvi+68M+A/h1pOo6bYnyYp3kcFtvy9B9K/uk/bOiml/ZQ+Iywjdnw9eYA/64tX+Gd4rhmtfE99FdRtG63MmVYYP3j2NAH9qq/wDB65+0iP8Amlejf9/np3/Ea7+0j/0SvRv+/wA9fxCyFTISvQ01lK0Af2+f8Rrv7SP/AESvRv8Av89M/wCI1b9pJmOfhZow4/57PX8Q7IV60/zfkC+lAH7Tf8FV/wDgtD8YP+Cp40y2+IWjQaLZ6XcG4ht7dyyqSMcA1+LPmbScAYpjMG6UmM8r2oA/a7/glN/wWk+L/wDwSuh1O1+HuiQa3a6rcLcSwXDsqkgYHAr917H/AIPUP2jLi9it7j4WaMsTMN585+FzyfwFfw+qxRww/WnPlTuPDe1AH+19/wAEr/28YP8Ago1+yvY/tFw2kVh59w9u8cByoaPGRzX6UPJkB05Br+Xb/g0u1G1P/BKrTLVJUMy6xdEx5GcZHav6iUk8yNXiGBQA/bt6dD+lZepXZs7Sa6RcrDGzk/7ozWwqkZrnPFt1bWfhfUJ7h0iUW8mSxAH3T3PFAH8I37XP/B3v8T/gf8btb+G3wz8B6XrVlol3LZyTSyMrb4n29B9K+Zf+I139pH/olejf9/nr+SD9st1l/av+I3ktlG8Q3hz2/wBa3SvmNckbRQB/b3/xGu/tI/8ARK9G/wC/z18I/wDBQD/g58/aE/b0+Bmq/AzWvB1j4f07Vrdre4a1lc7lPqDX8u5CeX8v3h1pPLZQGPRvSgB6x/LvXoO9fpN/wSv/AGC5/wDgon+1RZfs+Q3MtolzbvO0sIBYBMZ4PtX5t4dWUDGMV/T7/wAGlVneN/wVY025SJzCNHugWwdoOBxnpQB+8MH/AAZW/s+y2UE03xP1hJWVS6iJOCQMj8K634m/Df4Sf8Gq3wlt/if8MbgeM9X8Y7tPzqKiMuYwGHK1/ay5RMZr+JX/AIPTrS6vP2b/AIWNaRNKE1mYsVBIA2d8dKAPz1/4jUv2lJPkj+FejZPT989f1i/8EYP+CrM3/BU/4Oa18QrjS7fTL7Qp0triC3JZQzLnGT6V/jmNG5utowDntX+jv/wZXWd3Z/s4fFI3sTRh9YhKlgQCNnbNAH9tMbggFeD3FWqhjdD90YqagAooooAKKKKACiiigBB1NLSDqaWgD//W/v4ooooAKKKKACiiigAoopMjpQAtFFFAH+UP/wAHbn/KWDU/+wNa/wDoNfy/1/T9/wAHbRH/AA9h1Mj/AKA1r/6DX8wNAEiYwfXtVyCaSGRLiPAaIg/iORVONtrZHFSO0b9BzQB/QX8BP+Dln/gpP+zp8PbP4b+AdT042FjGsUQuIN5CoMAZJ9KX4/8A/By1/wAFJv2jvhzdfDT4ganpwsL1Gjl+zweWxVhgjIPpX8+XmN36jim7/l96ALU0s147TORlyWP1Nfrj/wAEG41P/BV/4Oo/H/E5X/0E1+Q8bKnPcd6/ZX/ggb4a1/Xf+CqXwm1awtJJ7e01hTPIo4QbT1oA/wBlQbcBBX5C/wDBa79ubxX/AME9v2K9Q+PvgnH9oQXcVtGSu4AyZA4r9dfNMceVXheMV/NJ/wAHWug654i/4JU6rZ+HbZ7mYatbOUjGTtBOT+FAH8el3/wdr/8ABVf7ZL9k1LRxDvOwG1XIGeP0qp/xFr/8FX/+gno3/gKtfzFSxyQStFKNrKcEehFQ0Af0/wAf/B2v/wAFXtwL6loxH/Xqtfi5+2p+3t8fP29vH9v8RPjzdxXN/aqyxeUu1VDHJAFfEyNtNOyCdx6elADnjYHLcj2r/Vy/4NJf+UUOmf8AYZuv/QhX+UohknK21uM7yAFHr2r/AFgf+DUTQda8M/8ABK/S9N1+2e0nOrXLiOQYOGIIP0xQB/TTX+MT/wAF5Mf8PX/jGO/9stj/AL5Ff7Mt/qVjpVjLqGoSrDBCu53bgAV/jF/8FzNZ07Wf+CqHxd1jRplnt5tYZo5E5UjaOlAH5OQTSQyJcR4DREH8RyK/oC+An/Byx/wUm/Z1+H1n8NvAWqacdPsY0iiFxAHYKg2gZJ9K/n3kKvwF+amiRsZPUcZoA/sB/Zd/4Of/ANvD45/F7Svgp8ebrT7rw74tuI9JmS2tlVttw2xufoa/qR8Xf8Guf/BLz4s6yfHev6Tqi3eoIssvk3BVckZ4AGB1r/Mh/YW8N694k/a3+H1toVq92YNes5XEYzhRKuT9K/3GPDcbx+HrIDjFvGMenyigD+aNf+DSn/gk6Rn+y9Z/8Cz/AIUJ/wAGlX/BJ0/J/Zes/wDgUf8ACv6c5N+wIep70+M8BB1HegD+Rj9sT9j39l3/AIN6/wBlq/8A2uv2QdPubfxDb3K2UUt63nAedkHgiv5hrr/g7S/4Kryzyi01PR1jDkpm1X7ueB+Vf2B/8HXXh7XPE3/BKzVNN0G1e6nXV7VysYydoJyfwr/J8njkhZrWXh0OD7EcYoA/SH9vH/gqf+1R/wAFF57S4/aIvra4+xymaNLdNihiMcL0r815QqnA69/Sm5VgB3prbidnpQAyiip4opJ5VhiG5nIUAdyeAKAP9W7/AINJ0RP+CUWmP1P9sXX8xX9PbD5dx4A6Cv5m/wDg1H8O614U/wCCVulWWv2j2k7avcsEkGDtYjBr+mDzN8mxl+70NAH+e9/wV2/4OVv20v2VP2yvFvwA/Z9uLK2tfDd81tJ9qgD5AHGDxX57fCr/AIOyP+Ckd541s7T4k32lzaLcOIp0htVDEMQvH4V+Yn/BeOU/8PYvjCJOVXWW4/4CK/Jvw60Y8SWJPCfaIzj0+YUAf6sj/wDBuz/wTb/bX8M6F+0b8SdL1Eav4osItRuDbz+WpedQ7fKB6mqn/EJP/wAEnv8AoF6z/wCBR/wr9u/2FfE/h7xJ+yP8PpdBuUukg0KzjcxnO1hEvH6V9gKQRxQB/MJ/xCT/APBJ7/oF6z/4FH/Cvyu/4K9/8G1f7Ev7Kv7HHiv9oL4A219bXfhqxa5f7TOWyQcDA4r+82vx+/4L0Bf+HUPxhx94aM2P++hQB/jJxo0jYXA+tJL5kY8vjHtRjcu+Q9O1RvuT5B0NADtij5e9f0L/APBvl/wS4+FP/BTv45eJPBnxXWRtM8PWsd3Isb+WxDNtIBr+eiNowACOfWv7Xf8AgzH8T+HNA/aX+JNvrd1Hby3Wkwxxbzjc2/oKAP6DW/4NKP8AglEBn+zNZHp/pTf4V+0X7Fv7A3wC/YM8Az/Dv4C2ktrp10VaXzW3MxUYHOBX20wDAxvyPSnIgVRjgCgBkZRl2jgCvyH/AG6v+CKH7E3/AAUK8Y/8J5+0Dp97NqJVU32svlnCdOgr9eo41Lbm6044z8tAH80Ph3/g1J/4JWeGNbtfENjpWredaOJIw9ySMj1GOlfz0/8ABRf/AIL+/tT/APBOP9oDWP2KP2Q5LLT/AA/4BuWsI0u4Fc7QMjB4r/RvyJJPLkH3e9f4yH/Bebj/AIKw/GIDtrLf+gigD7+/4i1/+Cr/AP0E9G/8BVo/4i1/+Cr/AP0E9G/8BVr+YXDUYOM0Af2F/st/8HP/AO3h8dfi9pXwS+Pl1p914d8WXEelTJbWwVttw2xufoa/qM8Xf8GuH/BLv4sayfH2vaVqi3eoIssohuCq5YZ4UDA61/mSfsKeGde8T/tcfD210O1e7MGvWcjiMZwolXJ+lf7ivhqCSDw/ZBTgC3j4/wCAigD+FH/grv8A8G1f7E/7LH7Gvi79oP4A2t9bXfhmxa5b7VOXyQcDAr/PgAUAb6/2gf8AguZpGqa9/wAEq/i7pOlQtPczaOwSNByTuHAFf4xmpWN1pd4+n3sRgnhO2RG6g+lAH6zf8EVP2FvB/wDwUL/bX079n7x3uOnT2clzIEbacR46H6V/fzZf8Gk//BKb7JELvTNYMuwb8XRxnHPav5LP+DSbw3rc3/BUXTfE0FpJ9gj0i6jabHyhtvTNf6rGRnFAH8wn/EJP/wAEnv8AoF6z/wCBR/wqJv8Ag0n/AOCUORjS9Yx/19H/AAr+oGmnOc9qAP8AIo/4ODv+CXXwq/4JjfHPw14M+E6yLpfiC1kuY1kfewVW2jJr+edRvOBwa/uY/wCD0Xw1rNz8fPhprtjaO9tBo8wknA+VTv6Gv4aZAn3R1oA/XT9hv/gtL+2j/wAE8/B3/CA/AfULSLTVZnEdxFvGX698V+gZ/wCDtX/gq4WB/tLR9g/6dVr+YPzD5eyneaQNo6UAf0/H/g7Y/wCCrpfK6no2z0+yrXD/ABJ/4OkP+ConxL8J3XgvxFq2lLZ3q4cw24VwMY4IPFfzcxcZb07U44D88g9qAOk8V+JNT8ZeJL/xbrrCS51CdriYr3Zzk12nwL8C2fxK+M/hb4fXQPk61qcFm/biVwh5/GvIx8vI+lfTn7GTP/w1b8ONp4/4SKy4/wC2yUAf6RXwk/4NMf8Agm1N4C0+f4kWGqTatNErStBckLyoPAr0k/8ABpb/AMEokBaPS9Z3L0/0o/4V/S/4aTb4csMD5jbR/wDoIrejWTuaAP5gf+ISz/glDKuRpms7j/09H/Cv0D/YT/4Ir/sX/wDBPLxf/wAJz8A9Pu4tSCsgkuJPMIVuoziv13CJGT5YwTUyKmfloAikKgbTyDXxP+2l+wL8Av28vANv8Ovj1aS3WnWpZovKbaylhg4OOK+3Hiwd6daR1BBQ8igD+YD/AIhKv+CUPl/8gzWc+v2o/wCFftH+xb+wN8Av2DPAM/w7+AtpLa6ddFWl81tzMVGBzgV9shYxH5O35emKeiBVGOAKAGxlCoVeAKtVWjjUtubrVmgAooooAKKKKACiiigBB1NLSDqaWgD/1/7+KKKKACiiigAooooAKgdirL8uR/Kp6q3KgKJGbaFoAQDyydxznpQhkjUtjPNUp9R0+1QC+njhz90uwXj8azLzxh4asbN7yXULfZEpZv3idAOe9AH+Vh/wdsf8pYNTAH/MGtf/AEGv5hcArkdq/pB/4OlPiR4S+J3/AAVF1XxF4NuVu7QaVbwl1xjcoII49K/m/Py/KO9AH+nd/wAETP8AgiT+wZ8WP2CPA3xx+NngTTvE2p+JNNW4dp1O4NnHbHpX6+r/AMEGv+CUUih/+FOaMuP9k/41Y/4IM8f8EnPg7n/oDL/6Ea/XZsr847dqAPyDP/BBn/gk8Vz/AMKc0YdvuN/jTx/wQa/4JPH/AJo3o3/fLf41+ssusaJbvtuLyBG/us6j9M0v/CSeHf8An+tv+/i/40Afk1/w4Z/4JPf9Eb0b/vlv8a9x+BP/AASr/YI/Zp8VReOPgn8OtO8P6nA4kSe3Uhgw6GvvX/hJvD//AD/W3/fxf8aY3iTw6ePt9sP+2i/40AbcZBGRXlXxd+DPwy+PPg+b4f8AxX0qLV9JnOXtph8pIrsU1/QpCd1/bqB0xIv+NOi8SaAeZb62Ujp+8X/GgD8qJ/8Agg//AMEo7mZ7if4OaOzuSzHa3JPXvUX/AA4Z/wCCT3/RG9G/75b/ABr9Zv8AhJvD/wDz/W3/AH8X/Gj/AISbw/8A8/1t/wB/F/xoA/JZv+CC/wDwSe3D/izujD/gLf40i/8ABBn/AIJQFf8AkjujD/gLf41+sr+I/DrfL9vth/20X/Gr1veWt6v+hSpKndkIP8qAPyNt/wDghH/wSlt7pJYfg3o6PGQysFPBXp3r+Qv/AIL9f8FD/j3/AME4f2o3/ZD/AGI9VufAGgafZwXaJp7BVy6/MMH6V/o6AAD1OK/y0/8Ag7P+E3xEf/gpHffEgadK+kT6ZawJLGpYFgOnAoA/KfWf+C5v/BU3X9Nm0jVfi7q8ttcLskjLLgqe3SvzG8d+O/FHxJ8TXfjPxpePqGp37b5p3+8zeprKk8Pa6knmLYXGwesbY/lWRcRSpKVlTyz/AHSMYoA0NDthe6va2zdJJkTHsWAr/WS/YW/4IPf8E4bv9mfwl4i+JXw30vXdT1fS7a8kllUhsyRhj6etf5Ofhxi3iPT9owRcRjj/AHhX+5p+xwWH7JXw4eJQz/8ACPWQ/wDIK0Afnx4+/wCCU/8AwTz/AGWPhX4s+NHwf+F+maNrmhaTPeW1zApDK8KMykc9iK/zffiz/wAF+v8Agp3rXj7Ubvwj8UdW0fT1laOK1R12oFJAxx6V/rK/td6Tfa1+y74/0axG+e40G7SNR3LRMAK/xAPil8LPH/gjx9qXhnxHpc8V5FcPuUIx6scdqAP6nf8AgiT/AMFtv2+Pix+3r4G+B/xu8c6l4m0vxNqK27JOw2quOeBj0r/TtEpBwgziv8eD/ggP8IviFrf/AAU3+GPiu006VLHRtWV7qV1ZQo2+4xX+wK3iHw4jAHULdWHUeYv+NAHE/Fn4OfDL48+EJvAPxX0yHWdKnO57eYfKcV+btz/wQh/4JSXU8lxL8HdHLyEsW2t1PXvX6sf8JH4bI3wX1sT0/wBYn+NTf8JN4eUY+322Mf8APRf8aAP84P8A4Omv+CYH7MX7D3gHwZ8R/wBnvw/aaAmv6i9u8FspGAqZr+KvPHTmv9Cz/g83+LHgLxX8Gvhz4I8PX8dzqOm6tK88aEHapTjoa/z08Pjf/DQB/an/AMGs3/BMH9mL9uDwD4z+I/7Qvh+019dA1GO3SC5UnKsme1f2P23/AAQh/wCCUtnPHcxfB7RleMhlbaeCOnev5uP+DMj4r+A/Cnwa+I3gnxBfx22o6jq0TwRuQNwCYPUiv7pP+El8POAPt9tjH/PRf8aAOG+Evwc+GfwJ8IxfD/4VaXFpGk253R20IwAa9TjZ5PmYYrF/4STw6QGF7bZ6f6xP8aiTxF4dE5ZdRtyW4C+Yn+NAH+Nf/wAF5m/42w/GE4x/xOW/9BFfkTAXSQTRnaVIIb0xX7gf8F+PhJ490X/gp58TvGF9p0radq+rM9tLGrMHAUegx2r8VX8N+IsnZY3O3/rm3+FAH6M/C7/gsR/wUe+DHheLwZ8NfihqmlaXAFWOCJgFAUYHb0r9Cf2HP+C9H/BSCf8AaY8I+GfiP8RdU13TtY1S2s5LeVhtxJIFJ7djX87y+G/EZI2afcY/65v/AIV9n/sAfBz4jeOv2uvAkXh3S5pTY61aXE29WUKiyqSc47AUAf7dOizSXuiWd6x+aSFXPvlQa/Jb/gvLu/4dQ/GKTbgjRm/mK/VHQde0C20OyhlvrdGSCMEF1HRR71+Yn/Ba3SZfiJ/wTI+LHhPwjLFe3t7pLJHHG6sScjgAZoA/xfdmRknmlYt98dBxXZa54D8Y6DrU+hX+m3C3Fq5jcCNuo/Cubu9M1KwH+m28sK/7alR+ooAzlG4ba+gPgL+058cf2YPETeLvgZ4huPD+pS4DS2+A3y9K8EXy/K6/NTAcZLdaAP18H/BeX/gq+vH/AAuHWS3+8v8AhX98f/BsB+358df28f2fPGGtfHXVrjWNQ8P30Vqs1wQS25ck8V/lShVKbpDhh096/wBCj/gzM+Kvgfwv8GPiL4L1q/jttSv9WiaCJyBuATB6mgD+7yVuQBwPWo1Zycr6dKx/+Ek8NkCSS/t8enmL/jTD4k8PBvMgv7Y9seYv+NAG2RN5YQjn19K/xlf+C8fy/wDBVz4xRkZP9stz/wABFf7HHiT4geDvDOkz+INW1O3jt7ZN74dTgD8a/wAZ/wD4LZ+L9B8ff8FO/ix4s8MzC4sr3Vi8TjoRtFAH5g6HbC91e1tm6STImPYsBX+sl+wt/wAEHv8AgnDd/sz+EvEXxK+G+l67qer6XbXkksqkNmSMMfT1r/Jz8OMW8R6ftGCLiMcf7wr/AHNP2OCw/ZK+HDxKGf8A4R6yH/kFaAPz48ff8Ep/+Cef7LHwr8WfGj4P/C/TNG1zQtJnvLa5gUhleFGZSOexFf5vvxZ/4L9f8FO9a8fajd+Efijq2j6esrRxWqOu1ApIGOPSv9ZX9rvSb7Wv2XfH+jWI3z3Gg3aRqO5aJgBX+IB8UvhZ4/8ABHj7UvDPiPS54ryK4fcoRj1Y47UAf03f8Eg/+Cvn7Zn7UX7ZvhL9lv8Aaj8W33jTwx41vls7q1u2GzZjJBAxxxX92+rf8ELv+CV2t6hNrOr/AAi0ea4uG3yOVOWP51/mi/8ABAb4SfEHWf8Agp18MPFdtp0qafo2rI93LIpUKpHuMV/sGv4i8OsPLN/bg/76/wCNAHx7+zh/wTn/AGNP2S9Y/wCEg/Z88DWHhq7ww8y2Ug4brX2uCRLt2/jVaz1XTLw7LS5ilI7Iwb+VXGVhwKAEJ29aaxEYLyt8o61WmuoLTm8kSJB0ZyB/OsqTxH4cVcS31sUHX94n+NAHzf8AtGfsTfsvftc28Uf7Q3hO08SxQJ5cQuQSAp7DFfGbf8EG/wDgk5jKfBzRj/wFv8a/W+1vbS6iD2bpLF6oQR+lSqski/vBs54xQB+R4/4IL/8ABJ7H/JHNG/75b/Gl/wCHC/8AwSd/6I5o3/fLf41+v9FAH49v/wAEGv8Agk6rBf8AhTmjc/7Lf415b8X/APg39/4Ji694B1Kw8KfDDSdJvvJZ47lFOVwpr9zLhPMAQcZ7+lc/4kaI+F9QUt923kGf+AGgD/Ci/aQ8Had8P/j/AOMfA2lIEtdJ1e5tYgvACxyMox+Arr/2MBt/ay+HOOR/wkNlz6fvlpf2zsn9rP4i7v8AoYbzn/ts1Uf2RNStNF/aj8Aarftst7fXrSSRj0CrKpP6UAf7nfhtf+KY05w/At48+/yivhL/AIKp/HjxV+zb+wV8RPjX4EmeDU9C05p7Z4zhgwIHFfVvwp+K/wAPPHfgLTPEPhzU7eWzmt0Ckuo6KO2a/JH/AIL/AHxe+HHhn/gmN8T/AAnqGpQi+1fSWSzjRlbcQenB9qAP83rxJ/wX0/4Ko6t4gudS034s6xZwSyFo4Qy4UenSv6L/APg2m/4K8/tl/tTftsW37Pv7QPi2+8S2lzZT3W+5YEDYOBgV/BycHrwRX9Pf/BpP8v8AwVh0vP8A0Brr/wBBFAH+rmD8pjzzX8t//Bz1+378d/2D/wBnvwfrHwJ1S40nUfEF9Latc27BWAVMg/hX9RTyFGwBmv4j/wDg9QKSfs2/CracL/bM2T/wCgD+QY/8F5P+CsKfK3xi1nPpuXj9K/vh/wCDYD9vz46/t4/s+eMNa+OurXGsah4fvorVZrgglty5J4r/ACqZEgDOyOTj7vvX+hJ/wZmfFXwP4X+DHxF8F61fx22pX+rRNBE5A3AJg9TQB/d5K3IA4HrSbiAMnaDWJ/wkfhxgGe/twPTzF/xrQhuYJ03ROssZ6MpBH6UAXGEjK0S8ccGnW6yJGEl5I71DsJTaWxipbeRGG1TnFAFmiiigAooooAQdTS0g6mloA//Q/v4ooooAKKKKACiiigAprKGGDTqKAP4G/wDg7/8A2tPjd8DPif4C+HHwu1u70a01nSpJZntJWibKvgY24r+IR/2yv2sZIzG/xG8QlSMEfbJun/fVf1x/8Hr3/Jyfwr/7A03/AKMr+IOgDqfEXifxP411VtZ8VX8+o3jD5pbhi7EfVq5lwAeK9d8D/Ab40/Eq0Go/D3wvqetQ8jfZQPKOPdQa9d8OfsK/tb+I9ctNHX4e69CbqQRh3s5QF9z8vAoA/wBbb/gg2WX/AIJO/B0/w/2Mv/oRr9X/ABDePbaDeXMfHlwOffIU1+cX/BHb4Z+Kfg5/wTi+F/w58YQmDUNK0tYp4mUqQcnjB6V+j3iCLz9FvI9uWeB1UD3UigD/ABmf2/v+CgX7WHi/9rDxpDb+NdY0y30zV7q0hitLqRE2JIVHAIHQV8Xf8NmftaAZ/wCFj+Icf9fs3/xVfaf/AAUA/wCCfn7WPhT9rLxpNb+CdX1KDU9XuruGW0tZGTY0hI5UEdDXwv4g/ZZ/aV8J6e+r+JfA2tWFsgO6Se1kVQB15K4FAGun7ZP7WzDcvxH8Q4/6/Zv/AIqk/wCGzP2swwH/AAsfxD/4Gzf/ABVfNhHl8qCGXrmtXRtJ1TX9Rj0vR7aS7u5ziKGFSzE+gUUAe+n9s39rPn/i4/iL/wADZv8A4ql/4bP/AGszhf8AhY/iL/wNm/8Aiqbb/sb/ALVt5brfWnw91+VHGQy2cpBH/fNTn9i/9rV084/DnxDgcY+xTf8AxNADW/bL/axxvHxH8Rbf+v2b/wCKpn/DZn7WYAz8R/EOD/0+zf8AxVWB+xf+1gE3yfDjxFt6AfYpv/ia8m8c/CH4n/DF0T4jeH7/AEVnO0LeQtFz6fMBQB6if2zv2slOB8R/EOP+v2b/AOKr/Rm/4NH/ANp34tftJfs0+OW+Kmpz6nLoeoQ20Es7tI23bnktX+YHMDwR07V/o7f8GUX/ACbX8U/+wzD/AOgUAf28bFryXxv8Bvgx8TLj7Z8Q/C+ma3Lx897Akp46csDXrtFAHyD4m/YP/ZH8S+H7nQZvh9oMC3MZQvHZwhhn0wtf4/8A/wAFivhf4Y+DP/BSD4ofDTwZEINM0rVGigjUBQFwOgHAr/a+r/GG/wCC83/KWL4xf9hlv/QRQB+TnhvjxFYY/wCfiP8A9CFf7nv7GMYP7JHw4Gcf8U7Zf+iVr/DB8Of8jDp//XxH/wChiv8AdB/Yw/5NK+HH/YuWX/olaAPou7sra8tXs7tBLDICrqwyCD1BHpXz1qP7JH7Let3jalqnw/0GeY8s72kTE/Ula+gbm9hsoJLu5kWKGJSzM5wAB1J9BXz1qv7XX7L+jXb2mp/EDQLadOHiku4gw/AtQB+dv/BVvwF8Lf2Xf+CeHxQ+MXwW8J6ToOt6RphntbmygSF1YEAEMqgiv8mvxN+3V+1p4l1y516X4ga9A1y5cxx3koVc9gN3Sv8AT1/4Lzft1/szXX/BN/4ifDfw14t0vWNQ1/Smit47O4jkOc9CFJ9K/wAllThtxHSgD6YH7Zv7Wj8f8LG8Qj/t9m/+Kp7ftlftYhfM/wCFj+IdvT/j9m/+Krwrw34T8VeONYXRPClhNqF4wysNuhZiPote5Qfsb/tXPiU/DnxCykZXFlNj2/hoA8r8c/Fn4pfEsxzfETxBf61tOV+2TPKQf+BE154AdwbtXpXjv4TfE34ZMi/EXw9qGiyOcAXkLxZPoAwFecBmf5mxj0FAHf8Agf4t/FH4aM8vw68QX+isxy32KZ4sn1+QivV0/bM/awxvPxH8RbR/0+zf/FV5V4H+EXxP+Jrunw68P3+tMh2lbOF5cH0+UGvWv+GL/wBq8ruj+HHiLb0I+xTf/E0AQp+2b+1qvzj4j+IcHj/j9m/+Krf8Oft0ftbeF/EVrrsPxB16drVxJskvJSpx2I3dKxD+xf8AtZZ8pvh14hx2/wBCm/8Aia3PDH7Cf7XHiHxBbaDD8PteiN04j8x7OUKM9ydvAoA/1k/+CUfgD4UftTf8E9Phl8YfjR4T0nXdb1fTFnuLm8t0mdmJIyWdSTX6En9i/wDZKI/5Jx4dH/blD/8AE1+ef/BKH4g/Cr9ln/gnp8M/g/8AGjxZpOg61pGmLBPbXs6QurAngq5BFfod/wANn/sm/wDRR/Dv/gbD/wDFUAJ/wxh+yYBx8OPDv/gFD/8AE14x+0J+zv8As/8Awn+AHjjx54E8E6Jpmqadol1PBNb2saMGSNmUhlUEYIr2j/hs/wDZN/6KP4d/8DYf/iq8V/aL/aF/Z6+K/wCz5438C+BfHGialqWo6JdW8EFvdRuxZ42VQFVs8mgD/H2+Ln7fn7W/jn4i6nrsvjzWrEvMyLDb3cqoArEDADACv1G/4IZ/toftEeKP+Ch/w/8Ag38QPEl/4j0PxNqawXltqM7zRsuOm1yQRxX5bfF/9gT9rTwN8QtS8PSeA9bvGSdm86C0lZCGY4wQpFfq1/wQW/YU/aet/wDgpB8OfiR4m8Japo+m+H9UWWeS8tpIxjHYsAO9AH+ovN+xz+yne3LXdz8PNAeU8szWcOSf++a/lr/4Op/2MP2efAP/AAT+vPjR8PvDWn6JqltqNtbD7FAkQ2sefugelf2VbzEfnHX0r+fH/g5c+AfxC/aK/wCCaeq+APhvZve6j/aUFwIolLMVTJOFHNAH+RBu+XbQGIr6ivP2Kf2tbW6ktX+HXiBjExTIspsHBxx8tVf+GMf2s/8Aom/iH/wDm/8AiaAPmcMRj2r0bwN8YPil8M3aT4eeIL/RC53N9imeLJ/4CRXqX/DGP7Wf/RN/EP8A4Bzf/E0f8MY/tZ/9E38Q/wDgHN/8TQArftoftZt/zUbxD/4Gzf8AxVKP20f2swu0fEbxD/4Gzf8AxVN/4Yx/az/6Jv4h/wDAOb/4mj/hjH9rP/om/iH/AMA5v/iaAI7n9sb9qu9ge1vPiHr8scgwyteSkEfTdXgWq6xq3iTUX1LWbh7q6mOXllYszH3Jr6B/4Yx/az/6Jv4h/wDAOb/4mnL+xh+1pnaPhx4h5/6cpv8A4mgDwPw4hHiTT0HUXEf/AKEK/wBzb9jSPP7JXw4QH/mXrL/0Stf4yfwf/YD/AGtPHfxC03w7H4D1uyZp1bzp7SVUAVhnJKgV/sF/s7ftDfs9fCf9nzwR4D8deONE07UdN0W1t54J7qNGDJGqsCrNkYIoA+87mwtby0eyvEEsUo2urDIIPUEelfP+qfshfsuazeNqGq/D/QZ525aR7SIk/UlaqD9s79kwf81G8O/+BsP/AMVS/wDDZ/7Jv/RR/Dv/AIGw/wDxVAH55f8ABV/4f/Cr9lr/AIJ4fE74wfBXwppOha7pGmNPb3NnAkTqwIwQyKCK/wAmrxL+3P8AtbeJtdutef4ha9A1y5do47yUKuewG7pX+sr/AMFXvHnwq/an/wCCenxN+D3wV8V6Vruu6vpjQW1vZTpM5ckYAVTk1/k1eJv2Fv2tvDGv3Wgy/D3X55LWQxl47OUq2O4+XpQB/Tj/AMGrH7aP7Qnj/wD4KB2fwa8eeJdQ1vSrjTrm4b7bO8p3KOOGJr/TCLgSn0Ar/Md/4NgP2Vfi98Df26rX9oP41aXceEvD1pp9xbSS6rG1uAzDj5pNo7V/okyftnfsnwMUf4i+Hsg4x9sh4P8A31QB/NR/wdtftQfFn9nH9mrwO/wq1OfTJNc1Ca2mlt5GjYKFyMFa/wA6A/tnftYFAD8SPEWfT7ZN/wDFV/oK/wDB1J8P5v22P2afA0v7NN5B4vl0HUJbq4j0lhckIVwOIya/z7T+xd+1njzR8OfEH0+xTf8AxNAH+i9/waR/tP8AxW/aL/Zp8cv8VdSn1OTQ9QhtoZLh2kbaVzyWr+u3cGkA7Yr+MX/g1b+H837E/wCzX44k/aYvIPCEuu6hDdW0eqsLZtgTHSQiv6pIv2zv2T5nCR/EXw7knAH2yHr/AN9UAfToJ6DFOJOPl5rlvDPinwv4y09dc8I38Go2j8Ca3YOh+hXiukaNdpxQAPyvP3a5/wARKv8Awjt+zdPs0n/oBrzDxd+0d8APh9eHRvG/jHSNJuUO1obq5jjYEdsMRXz98Zv+CgH7IfgH4c6l4in8d6LeiKBlEVvdxMxypAwAaAP8Zz9stXm/a0+I4T/oYb3/ANHNXzZa3l1Y3KXdo5iljYMjKcEEdCK93/al8Q2Piv8AaN8c+JdHYNaX+t3U8RHdWkYjn6V8+UAfRmnftc/tQaNarY6T4/162gT7scd3Kqj6ANisHxf+0d8fPiDp7aX448Y6vqtqRgxXVzJIuPTDEivEa2NE0PVvEepRaNodu91dznbHFEpZmPoAKAM/ytoBPfpX9O//AAaUn/ja7pkff+x7r/0EV+DVp+x1+1dfQrJa/DzX5InGVZbOUgj2O2v6k/8Ag1Z/Yx/aD+H3/BQC0+MXj3w1f6Jplvp9xbMb2B4vmYcY3AelAH+mR5Y/z/8Arr+If/g9awv7NfwswMf8Tmb/ANAr+3uv4hP+D13/AJNr+Fn/AGGZv/QKAP8AODBwc16P4G+MHxS+GbtJ8PPEF/ohc7m+xTPFk/8AASK83ooA+pbX9tf9rS1u4rr/AIWL4gbymDBTeTYO05x96v8AU9/4Nofj18Qf2jv+CbGlfED4l3b3uojUZ7fzJGLMVTAHJr/Idr/V3/4NJP8AlFDpf/YYuv8A0IUAf0++WMk+tOVFX7oxTqKACiiigAooooAQdTS0g6mloA//0f7+KKKKACiiigAooooAKKKKAP8AOD/4PXv+Tk/hX/2Bpv8A0ZX8Qdf2+f8AB69/ycn8K/8AsDTf+jK/iDoA/wBSz/g0u+FPgCT/AIJs2HxEutPik1SbVLqBpnVW+UHgciv6qRoPh+GQf6Bb59RGv+Ffwl/8G13/AAVz/Y5/Zb/YltvgD8f/ABZY+HbyC+nuc3LEHDnjgfSv6UF/4Lw/8EokCxP8YtGZv94/4UAfr7HbwxJiBQoHYDA/Knqrk89K/IZv+C8v/BJ+Nsf8Lh0bP+83+FJ/w/q/4JQf9Fh0b/vs/wCFAH6yyaFo9zl5rOBm9WRT/SviL9vr4P8Aw+8cfsmePrXxLpcEpstDu7iJlRVw6xMR0HtXzt/w/o/4JPdvjDox/wCBH/CuV+If/BV//gnf+1H8KfFnwW+EnxN0zVdd13SZ7K2toWJdnmQqgAx3JoA/x09bXZrt7AnAWdwB7bjX6d/8ETPCOieOv+CoHwm8K+IoRPZXerqkkZ6EbTxXtnxZ/wCCA3/BTrRPHuoWvhL4Y6tq1g0rSQ3KKAHDEkY6dq/Tj/giX/wRL/b0+E37evgb42/HDwNqPhnTfDWopcPJcIMMuP6UAf6WfhvwB4O8N2EGh6Tp1vFb2y7FUxr0H4V0aeHfDYzjT7cf9s1/wrVkAOHbjHQ15f8AGD4zfDX4E+DZfH/xW1WLRtJgIV7mbhR7UAegHw34d2/NYW3/AH7X/Cv4W/8Ag81+FXgbwx8H/h3460CwjtdT1LVpUnkQBdwVOBgAV/SDe/8ABeD/AIJTWchgl+L+jB0Yow3NwRwe1fh//wAF7vDfhj/gtP8As6eE7L9gHV08fXnhi7kvpYdNG47WUKOooA/zTpDnqPm71/o7/wDBlF/ybZ8Ux/1GYf8A0Cv5B/8AhxD/AMFXwwlk+DesnHX5V/xr++D/AINiv2A/jl+wX+zz4w0n436VcaTqPiK+iuktp1wygJgjj0oA/qToqtGXUDd1ParNABX+MN/wXm/5SxfGL/sMt/6CK/2ea/xhv+C83/KWL4xf9hlv/QRQB+Tfhz/kYdP/AOviP/0MV/uhfsYf8mlfDf8A7F2y/wDRK1/he+HP+Rh0/wD6+I//AEMV/ug/sYf8mlfDj/sXLL/0StAFj9r2/utG/Ze+IGsWLbLi20G7kjYdmWJiDX+H58Vfil4/8d+PdT8TeI9Unmu5rhwzB2A4Y44zX+49+0f4S1L4gfAPxl4G0hDJc6tpFzaxbepaSNlGPzr/ACSvi/8A8EAP+Cnnh/x/qWn+E/hfq2rWAmZ47pFUKwZj06UAfiZNrWq3CmK6uppB6M7EfkTVRHXb79j6V+uS/wDBBr/grAy5Hwc1nn/YX/Gpo/8Aggz/AMFYQNx+Dms/Tav+NAH2L/wa2fDrwn8UP+CoOleHPGloLu3XS7iYK2MblAI61/rDWvg/wxa2sdpFp9uEiUKo8tOAowO1f51X/BA//gnf8f8A/gm9+1PF+1/+25pNz4A8O6fZzWby36gIC4+XkZ9K/sCuP+C73/BKS1kaGX4waMGRijfMeCOD2oA/m6/4PNvhR4H8L/B34eeOPD9jHbajqOrSpcSIoXcqpwMACv8APNR1UcDmv7V/+Dpr/gp5+zD+274G8HfDj9nrxDaa/FoOovO9xasSGVlx0r+K4R/Jgrx/eoA/0Kf+DMr4V+BfE3wf+IfjrxDYR3Op6dq0SW8jqDtBTkYIr+6b/hGfDuzAsLYf9s1/wr/OC/4NZf8Agp3+zD+xD4F8Y/Dj9oXxDaaBFr2opOlxcsRtVVx0Ff2P2/8AwXd/4JTXbrDb/GDRyzsEUbjyTwB0oA/VceGvDjAo2n25A/6Zr/hQnhzw/Gq+RY26EdvLX/CuF+Dvxn+HPx18HxfED4U6nFq2kTnak8P3TivVRGykydfagD/HY/4L9fFzx/rn/BTn4n+EbrUJUsNI1ZktYo2ZQq7RxgHFfin/AMJN4j/6CFz/AN/G/wAa/WT/AILxkt/wVf8AjE3Q/wBstx/wEV+RaRtO6xQrl2IA+tAF/wD4STxF/wA/9z/38b/Gvs/9gj4r+PvBf7WfgK58PapNH9t1y0t5VZmYFWlUEYz716j8MP8Agjt/wUd+MnhiHxp8Nvhfqmq6ZMqsk8SjBBGR39K/Qz9hP/ggx/wUaj/aZ8Ja98Svhzqnh7TtF1S2vnuZVGMRuGI/IUAf6vWieG9AutDsJ7qygkcwRnOxeu0e1dFDo+j2Z8y1tIYm9VRQf0FVdEjng0y1sZBt8iFFJ9woFbJZsZAzigARmHB5qGWCKZfLu1V0PZgCPyNSLHlhIOPUV5T8YvjL8OvgV4Ql+IHxV1OLSNIgO15puAKAPQ/+Eb8NZz9gtv8Av2v+FNHhrw0RuFhbY/65r/hX5NS/8F3v+CU9k7Wlx8YtH8yNirDc3BHBHTtX2T+zh+25+zF+1xDJcfs9eK7TxHBAnmM1scjHSgD6d/4Rnw320+2P/bNf8KX/AIRjw3/0D7b/AL9r/hWujA5A7dqloAw/+EY8N/8AQPtv+/a/4Uf8Ix4b/wCgfbf9+1/wrcooAw/+EY8N/wDQPtv+/a/4Ug8M+HBz/Z9v/wB+1/wrdooA4fWvDmhWmh309rYwRuIHIIRRyFPtX+JP+3v8WPH/AI0/a08e3HiHVJpPseuXdvCqsyhUWVgBgHsAK/29vEn/ACLt/wD9e0n/AKCa/wALz9s7/k7L4jf9jDe/+jWoA+fv+Ek8Rf8AP/c/9/G/xpf+Em8R/wDQQuf+/jf41iUUAfuX/wAEAPi78QNF/wCCnXww8H2eoytp+sasqXUUjMwdQOmCcdq/2ED4f8PsxJsbdv8Atmv+Ff4mH/BK346+F/2af29Ph38b/GkiRaZoGorcTs5woUAjmv8AVK8M/wDBfr/gldqmgWmp6p8WNHs7meMNJCWbKt/d6UAfJf8AwdG+Mtc+Ef8AwS41bxH8PmTTrxtUt4TJEoU7WJBHy47V/lCXPinxNczPfSajcM8rFm/eP1PJ71/f/wD8HK3/AAV5/Y2/an/Ysuf2ff2efFdj4murm9gut9qxJGw8jHFf57NAH92//Bmd8SfF3jH4w/EXwJ4nuTf6Zp2kRPBFN820l8H72a/0H/8AhF/DQ/ef2db5/wCua/4V/nS/8GUP/JyfxU/7A0P/AKMr/R1lO3GPyoA/zxf+DzD4k+LvB/xh+HXgTwtcmx03UdIleeKH5dxD4H3cV/DfbeKvE1rPHfRahcB4mDL+8bqDkd6/0bv+Dpr/AIJiftPftveO/BnxI/Z68O3fiCXQdNe3e3tVByWbNfx42f8AwQX/AOCrc99Faz/B/WI1kcBm2r8oJwT17UAf6FP/AAaz/Ebxd8Tf+CW+k+IfGd015drqlxCHbrtUgKOfQV/SGNifdr+V3/gkN8VPgF/wRu/Yb0z9n/8Aba8YW3g7X1vZLp7S/wDldRNgjgCv0B8Uf8F9/wDglhouhXWo6R8WNHvJ40JSFWOSfTpQB/m9f8HAHxf+IXiP/gp/8UPCeo6nN9h0nV2S1jVmAVdo9DX4pSeIteYeW99OyjsXb/Gvu7/gqr8cvCn7Sf7e3xF+NXgiZJ9L13UTPbvGcqRgDivzxoAkeRnJJ71HRWxoui6jr2q22iaVCZrm7kEUUY6szHAAoAydpHzEcV+rH/BEnwnoXjj/AIKffCbwt4mgFxZXerKkkZ6EbTxUvhL/AIIm/wDBT7x5oMPiLwr8J9WvbCcZikRVwfpzX7R/8ESv+CJv7eXwn/by8C/Gz43eBNR8Mad4a1FZ3knUYYYx2z0oA/0vNE8B+DPDOkW+h6Xp1skFugRE2L0H4V0dppml2/FpaxQEf3FUfyFWZADh24x0NeX/ABg+M3w1+BPg2Xx/8VtVi0bSYCFe5m4Ue1AHr1fxCf8AB64uf2bPhWP+ozN/6BX79Xv/AAXg/wCCU1nIYJfi/owdGKMNzcEcHtX4f/8ABe7w34Y/4LT/ALOnhOy/YB1dPH154Yu5L6WHTRuO1lCjqKAP80kgg4NJX7CN/wAEGv8AgrE/P/CnNZz/ALq/41H/AMOFv+CsP/RHtY/75X/GgD8f6/1d/wDg0lP/ABqh0xf+oxdf+hCv4E7P/ggj/wAFXbi7igm+D+sRo7hWbavygnBPXtX+k9/wb8/shfEv9iT/AIJ/6b8Gvi5aS2OrrfTXDxzDayiTBAx7UAfufRVTEiKE+9U6BR8o6igCSiiigAooooAQdTS0g6mloA//0v7+KKKKACiiigAooooAKKKhlZo8N/COtAH+cT/wevf8nJ/Cv/sDTf8Aoyv4hASOlf6kP/Bxf/wRi+Pv/BTjxf4V8c/AeOCW/wBAsHtlWeURrlmzzX8rI/4NKv8Agq+c40zRsf8AX2v+FAH8xruCokj+U9MCmjb95m+av6c0/wCDSn/grC65Gl6Nj/r7X/CsbxH/AMGpX/BVLwvotxruo6VpLRWyF3CXIJwPQAUAfzPEknJpK9W+NPwf8Y/Ab4l6r8KvHsSw6to8vk3CLyAwry14mQAnvQBHX13+wv4l1zw9+1p8PZtEuXt5Jtfs432HGVMq8fSvklojGQH719N/sYgn9rT4ct0x4gsv/Ry0Af7mPhoh9Asmm+99nj/9BFbqshx3B6Vz/huZB4c0/jhraMD/AL5FbrSiFNz/AMNAC7+fLlXA7V/M5/wdb+Ida8Mf8EqtVu9DuntZ21e1TchwdpJBH0r+mNHQldv8VfkT/wAFrv2EvGP/AAUM/Ys1D9n3wHsOoT3cVzHvbYMx5IGaAP8AGUlMsrG5lO7cck+pNf3Hf8GW3ifxDffHv4maHc3LvY2+jwmKEn5VO/sK/PC7/wCDSz/gqyt3KLTTNHMO5hHm6Xpnjt6V+4//AASk/ZWf/g3P07X/AI/ft8Trp7eK7MWaJYuJxujO7AAI7UAf3OvvZeBnHakVGKjcMGv5hj/wdq/8Enwf+QprPv8A6K1ftT+xR+3r8Av29fA8/wAQfgDdy3en2xVZDMu0gsMgY7UAfZ8fmBsDketXKhXIb5elO3857UASV/jDf8F5v+UsXxi/7DLf+giv9nVix5HSv89T/grz/wAG0/7bH7U/7Zni39oL9n+2sbm08TXzXL/apwmARgYH4UAfwo+HP+Rh0/8A6+I//QxX+6D+xh/yaV8OP+xcsv8A0Stf5sfwt/4NMf8AgpHZ+N7G/wDiZY6XBo1s4lneG6UsApB4HHYV/WdL/wAHEv8AwTf/AGJvDGg/s6fEvVNR/tbwvYRabcC3h8xQ9ugRhuB9RQB/S+keRvPyj0qFlDDAOFXn61/Mi/8Awdqf8EnhydT1n/wENR/8Raf/AASe6nU9Z+n2U0Af07I2yLzR+VSxk4Eh6Gvw5/ZC/wCDgH/gn3+2z8TLT4V/BrU79tWvJRDFHcw+WCx6AZNfuKNiuF9aAP5oP+DrjX9Z8Mf8Eq9U1HQ7l7eVtXtU3JwdpJBFf5QDzs5a4l+cyEk59TX+rJ/wdqE/8OodTP8A1GbX/wBCr/KUkJXg/wD1qAG7yijjjtTxIDzn/gNfaP7E/wCwL+0B+3z44uPh/wDAG0hu7+0VXkEzbQAxwOcV+z4/4NLv+Cr2d39l6MMf9PS/4UAfzFklgSBgVajuZEdLiL5NhBGOxHQ19nfttfsDfHz9gXxxbfD74+2kVrf3is8QgfcpVTg84r4qVmDYTHTpQB/rD/8ABqV4g1rxJ/wSv0rUdZu3vJRq1ygaTkgKQAPoK/phYEfc6+lfzBf8GlQZv+CUGmg8D+2br/0IV/Toke0eXnpQB/jMf8F4nc/8FYPjEpXn+2W/9BFflF4Zt2k8QWUZ6m4j49fmFf3T/wDBXj/g2o/bY/an/bK8W/tA/s/21jc2via+a5k+1ThCARgYFfn78Iv+DTP/AIKSQfEDTn+JljpkGkRyq8zwXILDaQeOlAH+jf8AsI+GdD8Nfsj/AA/h0ezjtFm0KzkcRjG5jCvJr6y2uJfu/LjrXlfwK8HTfDP4O+Fvhvef67RdLgs278xIFPP4V3HizxLpXgzwvf8Ai3WW2WmmwNcTEdlRdx/QUAbjrj7p+gqbfKI9wXn0r+b74hf8HSn/AAS7+Gnim58HeIdV1Rruzba/k25Zcjjgg47Vw/8AxFrf8EoiM/2nrGB1/wBFNAH9PSjpu4PpX8z3/B1r4h1rw1/wSv1XUtHu3spjq1sm6M4JBJBH41zrf8Haf/BKBjtXVNawf+nVq8T/AGwP2wP2XP8Ag4X/AGV9Q/ZB/ZI1C5n8RT3K3kUd4vk5EGT1J6UAf5g1w808jXMvJc5J9TX9xv8AwZceJvEN/wDHf4l6DcXLy2dtpERigJ+VTv7Cvzxuv+DSv/gqwl3L9k0zRzDvITN2v3c8dvSv6oP+Dc//AIIx/Hr/AIJkeKPFPjn48xwQ6hr9gtsy28okUFWzxigD+smIZG4jBqaq0bfu/k/DNfm1+3l/wVV/ZY/4Jzw2j/tGXtxbNexGaJLZN5Kg46UAfpdRX8xFp/wdnf8ABKW+uo7K31PWN8jBBm1IHJx61+8X7LX7VHwp/a++FVt8Y/g9cvdaNdOY0dxg5GMjAoA+laKYzhOtfhz+17/wcF/8E/f2JviXd/Cj4zalfpq1lKYZUtYfMCsPXB4oA/a/xJ/yLt//ANe0n/oJr/C8/bO/5Oy+I3/Yw3v/AKNav9JL4tf8Ha3/AATdl8CX9v8ADW+1ObVJYmSJZ7YhPmUjmv8AMw+PHjW1+Jfxn8U/EG0/1WtanPeJxjiVyw4/GgDyGiiigBw64zinkBcBhXqHwY+EHjH47fEvSvhX4BiWfVtYl8m3Q8At+Ff0FeHv+DUz/gql4p0S31/TtL0kQ3KB1D3IVsH2xQB/NMVI6cVDX9Px/wCDSf8A4Kwgc6Xo2P8Ar7X/AApD/wAGk/8AwVhC/wDIL0b/AMCl/wAKAPv/AP4Mof8Ak5P4qf8AYGh/9GV/o6TAkhQK/k2/4NzP+CMXx5/4Jj+I/FHj/wCPMcEOpa/YLbOlvKJFBVs8Yr+shZlkUHHXpQAxl8sjJy1RIm2TZnk81+cP7e3/AAVS/ZW/4JzQWk37RV9cW322EzRLbJvYqDjgZr8nb/8A4O1f+CVAtJfsWp6wZQh2ZtT1xx+FAH8m/wDwdseKNeP/AAVD1HwzJdO9gmkWrrAT8obb1Ar+WhhGsYIPzHqPSv11/wCC1X7c3hD/AIKGfto6h+0N4JLf2dPZxWsW5djYjyB8v0r8hRlRn1oAlkjkSNZGGAelV6/cj9kT/g35/wCCgf7bPw1s/ir8GtNsX0i9iE0L3M3l5B6YBFe//Eb/AINaP+Covwz8K3Pi/XtK0tra0Xc4iuAzYAzwAPagD+bivpr9jy2tb79qf4d212PMSTxBZqyHoQZV4rwzxb4Z1PwZ4mv/AAjrS7L3TZ2t5lHQMh2kfpXu37Gas37WPw4XHTxDZf8Ao5KAP9xv4faBpPhzwbp2maHAlrax28ZVIxhfuiu0TYW9c1ieGSG8O6ePS3j/APQRXIfGT4t+DPgT8NdU+K3jyU2+k6PF51w4A4UUAelb+fLlXA7V/M5/wdb+Ida8Mf8ABKrVbvQ7p7WdtXtU3IcHaSQR9Ks6/wD8HW3/AASq8M69deH7/VNXae1cxsUtSVyPQg9K+c/2vv2u/wBl3/g4b/Zc1H9kf9kTULmfXZrlbyOO8XyM+Rk9z0oA/wAwSUyysbmU7txyT6k1/cd/wZbeJ/EN98e/iZodzcu9jb6PCYoSflU7+wr88bv/AINLP+CrC3cq2emaOYNxEebsdM8dvSv3F/4JSfsrP/wbnadr/wAff2+Z108+K7MWaJYsJhujO4gAEdqAP7pUJPBp9fy+D/g7Y/4JPA5/tPWf/AU1+1H7FX7fHwD/AG9/A0/xB+AV3Ld6fbFVk85drAsMgEdqAPtuqKqhfJO70FWwWLcfdo2LnNAEDucAHgnipIsDK9xUmxaAgBzQA6iiigAooooAQdTS0g6mloA//9P+/iiiigAooooAKKKKACoZSwGR0qamsMigCttATcuATTmCNHg/pTTHjLSnPpUcUYjQk9M0AORxMmcYUdqr3kS3cf2d1UxtwwYZBFfz4f8ABUP/AIOD/gh/wTG+Kz/CPxn4auvEOpJFHMUtZFUhXHBwa/L/AMM/8Hnn7NHiXXLXRrr4Z6tapO4RpnmTaoPc+1AH8cn/AAXZtLex/wCCrPxgtbRAka6wwCqMADaOmK/JJJZNu7jC8V/oJ/tPf8G8Wr/8FfPFH/De3wH8Xad4bsfiCx1FobhWdtrcAZXA7V8M/FH/AIM4/wBpf4b+EbvxZB8QdM1U2iF/s8EL7mABPH5UAfxmLyeetfTf7GA3ftafDnPX/hIbL/0cteNfETwbd+APHer+AtUObnSLuS0dsY5jYqePwq78I/HT/DH4peH/AIiRKWbRL+G8AXqfKYNx+VAH+8T4a8w+GrCPjcLaP/0EVqIpbiT746+lfwj/AAp/4PNvhD4W8E2OheOvh3q2o6lbRqklwkqKGwAOn4V+nH/BP3/g56/Z7/by+OWl/AzQ/B974e1HV7gW8DXUqNuYjsBQB/UM7yIu3jPbFRmBDhjnNWQob6iviX9vT9tTwT+wN+z9efHz4hwG6sbSZYfLRgpJboAT9KAPuDAxiv4if+D1C6ubP9m/4X/ZJXj8zV5g4ViARs74p15/weo/s3W13LaL8LtYcRMV3CZMEA4yK1PiR8SfhF/wdTfCWD4ZfC23Hg7V/B4bUMag3mFd4CjhRQB/m5Kq/L79a/0ev+DKy7u7r9mz4pJcSvIsesQhAxJ2jZ0Gelfnwf8Agyl/aTzhfino2D/0xev6yv8Agi3/AMEo3/4JVfCLWfh5c6lb6pd65OlxcTW4Kgsq7c4NAH7V5796hdVlA8zjHSpwSG5pkkYcAOM46UABPH0qWMkoC1MOOAw6V/Lp+3//AMHP/wCz3+wd8c9V+BeseD73xBqGj3Bt7hrWVV2kDuD0oA/py8UIjeG7/dx/o0n/AKCa/wAM/wDbTurm+/a2+Iv26VpNniC9C7iTgCVuBmv9AXwD/wAHin7MnxW8Sw+A774d6ppkepAw/aZpk2pu+XnH1r44+On/AAaZ/ED9rTxnJ+0V8JfHel6JpnjDOrLbyxuzD7SfMHI470AfwP4CncvT0pVDR4k/Sv66f2oP+DSX9pX9m/4Taj8WD4507W4tLheeSC2icMFjXcTz2r+R6+t5LW+ltZfvxOUP/ATigD9e/wDggvfXcf8AwVe+EEUErpHJrK7lUkA/KeoFf7M8e4k57dK/xjP+CDP/ACli+Dn/AGGV/wDQTX+zfuZwUU4IoA/mG/4O1W3f8EndUyOmtWv/AKEa/wApIn5Pav8AbF/4Ko/sEwf8FGP2Vr39naa7is/tFwlwskwJUMnTgV/Fvef8GVf7RUl5JPa/FDR0iLkovkvwueB+AoAz/wDgyx0+2uv2kvihJcxpIyaPCU3AHB39vSv9HWTBG0MPMHSv5zf+CHX/AAQ51j/gk/rWveK/E+u2mu6lrtmtrLLaqV+62Rwa/owNvB5yzbfmNAH+cP8A8HpNhZab+0j8L3tokSSTR5i21QMnf7V/Eoy4I9T6V/bz/wAHrPz/ALSXwsGOTo02P++6/iBoA/1cv+DS47P+CUGlbuR/bN10+or+nrzVMjKow2Op6V/lvf8ABFz/AIOMPC//AATJ+AUfwF8c+F77xDp8U8twi2zKoDSd+fSv3I8N/wDB5/8AszeIdftNFvPhnq1sk8gQzPMm1c9z7UAf2qrCEBmzlvapNzs6tkbe9eD/ALL/AMfPDP7T3wO0D45eD4jFp3iG3FxCpO7APHUV7v5Kh9rDOaAJPL2ISmK+Z/2y5JI/2TPiIYDhv+EfvMEdv3LV9KxxMEKzfNzxXzR+2epT9kv4jbPu/wDCPXmf+/LUAf4aniyW5uvFF8bmUyyG5fLMc/xHua56RRGQh7dxW74l8keIdQfbw1xJj2+Y1g+YPL8vHNACIzKcLwD61/UB/wAGlV1e/wDD1XTbZZW8o6PdZjycZwO3Sv5ft2QFI5HSv0k/4JX/ALedz/wTk/apsf2iba1lvRbWz27RQkBir4z19qAP9sRVC/uxSHb0ccr6V/D7bf8AB6d+z4mnQx3fwv1h5kVd585OSByaty/8Hq37N+FeP4W6zk9f3yUAf26lEfEpyNvQV/nMf8HqF7dQftGfC6FJX8p9HmygJAPz9x0r71P/AAetfs4Y2D4WayD/ANdkr+TP/gtL/wAFWov+CqXxh0T4hWWmXGl2mhwPbwQ3BBIVmzjigD8XI8tyvysOQelf6uf/AAaZ3lxcf8EotLlunaZv7ZuhliWOMj1r/KLxkYA49K/1b/8Ag0qyv/BKDTD0H9s3fH4igD+nlnK43DOa/wAZz/gvPeXc3/BVr4xQTSs8cessArEkKNo6DtX+y+qyp/rGz6V/jK/8F5AP+HrvxjBHP9stz/wEUAfkHsBXOMelSFoTb4cHzO3piprSKe8u4LQHBdgi/icV/XN+zD/waSftJftI/CPTfin/AMJ1p2iJqcEdxFDcwvu2yLuHT2oA/kIor+3z/iCi/aU/6Kpo3/fl6P8AiCi/aU/6Kpo3/fl6AP5//wDghDZwX3/BVb4Qw3Sq8R1hdysAQeD2r/ZrgtYbZFjhVURRhVAwMfQV/Fn/AMEwv+DV/wAb/sR/tOeH/wBoT4meMdO8QSeH7tbm3S3R1ZcDHev7UmiUL8wzjpQBFmbzfLk+77U8ExsYhwMcU4FxhF4p0ieag9qAGohkQCUjI9KfyD2wKg8pyVeL5fWpiih+nJoA/wA5X/g9QmvU/aJ+F8XnMsLaPNmMMQD8/cdK/iCWM7fNX8q/tz/4PUo5D+0j8LY5TknR5sf991/EZK6Bh5Q24GDQABkI/eZpdmArP92v6Fv+CW//AAb2/HT/AIKefCtfix4M8TWnh7THkeJXuo2YFk6jK1+vfhr/AIMs/j5Y6/Z3PiP4maPdWMUgM0SwuCy+goA/rO/4IL2ljbf8EpvhBPZwqjy6Mu5goBPJ6mv1j8WWVteeG75LlFkH2aT5WAI+6exr55/Yq/Zsg/ZK/Zh8J/s92MqTQ+G7QWwaPgED0r6g1K0+3adNYJx50bJn0yMUAf4XX7ZH+jftZfEUwgKF8Q3oAxx/rm7VN+xm8kv7Vnw4DFQB4isj/wCRkr+2/wDa1/4M/wD4n/G743a58Ufh3490rR7XWbua7eCWN2O6Vt3b60fskf8ABn/8TPgh8b9E+KHxL8eaXrNpo13DdxwRRup3RMGHX6UAf3e+Hljl8Oacx7W8fT/cFflN/wAF3rma0/4JSfGCeB2jZdGbDIcEcjpiv1n0m1OnWEFkPuxRqgH+6MV+Sf8AwXi2j/glF8ZCeR/Yzcf8CFAH+My88ty5aVtzHqW5J/Gv6ff+DSm7mH/BVLTbIySBDpF0dm47fujt0r+X0qjDeBgDtX6T/wDBK/8Ab1m/4J0/tTWP7RcVpLera272zQwkBir4z19qAP8AbDByPwr+Iv8A4PTrq5s/2bvhf9klePzNYmDhWIyNnQ4qlZf8Hq37O8dpFFc/C7WGlVFDt5yckDk10nxI+JXwh/4OpvhLB8Mvhbbjwbq/g8NqGNQYSFfMAQcKKAP83JFX5R69a/0e/wDgysu7u6/Zs+KSXEryLHrEIQMSdo2dBnpX57j/AIMpf2k+g+Kejc/9MXr+sv8A4It/8Eo3/wCCVXwi1n4eXOpW+qXeuTpcXE1uCoLKu3ODQB+1ee/epqiBIbmpaACiiigAooooAKKKKAEHU0tIOppaAP/U/v4ooooAKKKKACiiigAqGRipHHFTVWnHTH5UANkwRlD+FQ5R2yv3fT3r+cr/AILi/wDBcXV/+CT+raB4Z8MaDZ63qmuWjXMMFyxUEKdv8NfzmWX/AAeo/tEvfRJcfC3Ro4mdQ5Ez8DPJ/AUAfn9/wdplh/wVg1PaMf8AEmteP+Amv5iTnogx61/pXWn/AATi+Af/AAcpfCWz/bi8Va3L4S1S8k+wyDT0Vh+4AG3LVg+F/wDgy+/Zn8PeILTWrn4matdpbyBzC8KbWA7H2oA/dv8A4INEH/gk98HwflA0Zef+BGv1c8Uq3/CO3xB3YtpOP+Amv4Uf2ov+DiDVP+CQXi4/sDfAfwhp3iSy+HznTWkuWaMgLyOF4rxH4Z/8Hlvxf8YeL7bwz48+Hek6dpl+fJlnSVyV3YXgfjQB/HT+2aP+MsPiM/T/AIqG84/7bNXzFX+lx49/4NWP2a/22Lmy/aaj8b3+iP4wt11WS2tYkKBrkCQ9frXn/wDxBR/s4f8ARU9Z/wC/Sf4UAf5w9fsD/wAEGMD/AIKv/B3n/mMrx/wE1/Xz/wAQUX7N3/RVNZ/78pXoPhn/AIII/s4/8EVPCmr/ALfdj4qu/E974CQalBDfRqqgrgYyvSgD+zNsDHzba/mJ/wCDtTH/AA6f1MdB/bFrz+NfhD4m/wCD0z482WvXVr4e+GWj3VlG5EMplcFl7Gvrb9lf/gq1pf8AwcXNP+wN8ftAs/Cp1BWvlezJkYeSOCA3FAH+drvGz3r+3f8A4Mp8R/tHfFN0+Y/2NDx/wOv0DvP+DK/9m2e7kuYfifrAErltohTABPQfSv3H/wCCVP8AwRi+EP8AwSr/ALSm+Hurza3d6nbrby3E6KrsAcjO2gD9qYVkyXc9e3pVioow23LdaloAKKKKACv8Yf8A4Lx5H/BWH4xHGR/bLf8AoIr/AGeK/wAYf/gvKdv/AAVg+Mf/AGGW/wDQRQB+VPheWMeIbEydBcR/L6/OK/3Lv2LnaT9kv4dcbf8AinrLH/fla/wuLO4exuYrtBkxsrj8Dmv64f2Yf+Dtz9pX9nH4Tab8KU8DafrcWmQRwRT3MzBgsa7QOO2KAP8ARi/bOwv7JfxGG3p4eveP+2LV/hoeJSR4jvpyPlNzJx/wI1/d98Dv+Dsv4iftYeNov2cvi34D0vRNM8Y40k3EUjMR9pPl8A8d6+yviF/wZ1fsy/FLxPL46s/iHqemR6gBN9mghTYu75uPzoA/jU/4IP8A7z/grF8Hmi4H9srgf8BNf7NKqOSnUV/L1+wD/wAGw/7PP7Bvxy0r46aH4wvfEGo6VcLcW6XUSgBl44I6V/UJvwwHQ+lAEkbOydNpzVqvzQ/4Kp/t5Q/8E6/2Vr79oia1iu2trhLdIpSQpZ+nT6V/F5d/8HrH7RMV3LDa/C7R3jViEbzn5APB/KgD/RyqNx/F6V/nE/8AEa7+0j/0SvRv+/z1G/8AwesftJuQy/CzRsL/ANNnoAs/8Hqkyj9pD4WKwwf7Gmw3/A6/iGcqxAVOa/Tj/gpr/wAFPPif/wAFN/ifp/xI+JWnR6dJpsbRQQRMWVVY5wM9hX5hlmU7W4oAe7rJKPLGwdKHhXzSkbblHev6xP8Agi9/wbp+GP8Agpl+z3F8efG/iW+0GwmuJbdTbKrDdGcd6/crwz/wZhfs0+HdetNcn+JerXUdtIHaF4U2sB2PtQB+8f8AwQaAH/BJ/wCDoHI/sZf/AEI1+v1fwVftQf8ABxLqf/BIXxX/AMME/Afwhp3iOy+H7nTjLcM0ZAXkcLxXy1/xGu/tI/8ARK9G/wC/z0Af6PVfMP7ZrbP2TfiPkZ/4p694/wC2LV/BF/xGuftIYx/wqvRv+/z184/tP/8AB21+0v8AtG/CbUvhS3gbTtDi1OF4JZ7aV9xSRdpHPtQB/Jx4lljPiG/2r8v2iT5fT5jXOBWJyoxnpV29unvLmS9K4Mjlz+JzVPzOOP8A9VADztLqPuetCrzvC7hTDHkjYck1+lX/AASv/YOn/wCCjX7U1j+zrb3ctj9ot3uHkgALBUxnr7UAfm3kyDy0HI7+1K0XC7Bx/er/AEYbL/gys/Z3ks4pZ/ijrKTMi71EKcEjkV/On/wXF/4Id6T/AMEotI0LxL4b1+81vS9cu2toZblVXO1c9FoA/nJKruwpyRUGMAhhzUkX3eRgetf0c/8ABDv/AIIdaR/wVf0rXfEvibXrvRNK0O7W2mmtlVsblyODQB/ORh0G3o3b6V/q3f8ABpVj/h1Bpi9cazdc/iK+DbP/AIMsv2bbaaKeT4o6w/luGwYU5AOcfSuJ/ao/4Ks6X/wbotB+wN8AdAs/FR09Vvme8JjY+eBk4XjtQB/c7GcfxbsV/jL/APBeJ0X/AIKw/GGR+f8Aict8v/ARX9Cnhn/g9M+PN7r1ra+Ifhlo9pZSOBLKsrkhfWv0i8Sf8EE/2cP+C1PhPSP2+9Q8VXXhi98eJ/aU0NjErJluMZagD/Np8OZk8Q2M2PlW5j4/4EK/3Lf2MCP+GSvhx8v/ADL1lx/2xSv5Wvh1/wAGdv7M3wq8TxeO774h6nqcWngzfZpoU2Nt+bnH0r4z+OX/AAdmfEP9lDxvL+zn8JfAWla1png7OkrcSu6t/op8scDj+GgD/QWor/OF/wCI1z9pEcf8Kr0b/v8APR/xGu/tI/8ARK9G/wC/z0Af6PVFf5wv/Ea7+0j/ANEr0b/v89H/ABGu/tI/9Er0b/v89AH+j1RX+cL/AMRrv7SP/RK9G/7/AD0f8Rrv7SP/AESvRv8Av89AH+j1Ubj+L0r/ADif+I139pH/AKJXo3/f56jf/g9Y/aTchl+FmjYX/ps9AFn/AIPVJlH7SHwsVhg/2NNhv+B1/EJIQ/yqmDX6df8ABTX/AIKefE//AIKb/E/T/iR8StOj06TTY2iggiYsqqxzgZ7CvzDLMp2txQB/q4/8Gkn/ACih0v8A7DF1/wChCv6ga/l+/wCDST/lFDpf/YYuv/QhX9QNABRRRQAVXLx5+bhqsV5Z8XvG4+F/wv8AEHxEdBImiWE14Q3QiJC2P0oA9ELlMqx69DX5B/8ABeEov/BJ/wCMS/xHRmz/AN9Cv5Tfiv8A8Hm3xj8M+N77w/4F+HOkalpttIUiuHldWbaSOg+lfmf+35/wc8/tC/t3/AvVPgXrfg6x8P6fq1u1vcPayuSyn1BoA/l5CFmCZqRgkLYB3ClWP5d69B3r9Jv+CV37Bk3/AAUU/aosf2fYbmW0S5t3neWEAsqpjPB9qAPzU3bh1xX9vH/BlTiP9o/4pNH8x/saHj/gdfeNn/wZW/s7yWUUsvxQ1gSuq718lPlJHI/Cv3Y/4JS/8EYPhF/wSrbUpfh9rE2t3ep2628tzOiqzAHIztoA/auLcQWb8qnqKNSBlqloAKKKKACiiigAooooAKKKKAEHU0tIOppaAP/V/v4ooooAKKKKACiiigAqKRgMZqWq05OMHpQB/nJf8HqVlev+0d8LruOJmiTRpsuASB8/c9BX8QQGfkUZJPGK/wBsD9vH/glZ+yv/AMFF4LOD9oexubgWURhja3fYVB54OK/LCy/4NNv+CUdtdx3sWlazmFwwBuj1ByO3SgCz/wAGmVreWf8AwSh0uO5iaJv7YujhwVOMj1r+nPkEbOa+b/2W/wBlz4V/sgfC22+Dnwet2tdFtmLpG5BOSAD0HtX0flFGUNAH+M3/AMF57O6tv+CsHxfuLiFkjbWW2llIDfKOnrX5MeFbaa98VafDaxs7Ncx4VBk/eHYV/sEftff8G/P/AAT+/bZ+I918WfjRpt8+rXkpmle1m8sMx+gr5r8If8Guv/BL34S64nj7QNJ1RrzTkaWLzbjcuUG7kEY7UAfuB+xjHLF+yf8ADpJhtK+HrMYPH/LFa+nq/wAxD9qL/g5//bw+Bnxe1b4KfAW60+18PeErmTSoI7i2BYLbtsXnjsK+cR/wdr/8FYP+gno3/gKtAH+r7X5Bf8F4IpZ/+CUvxggt0aR20ZtqqMk/MOgFf5//APxFr/8ABV//AKCejf8AgKtffv8AwTt/4L8/tU/8FIP2gtG/Yl/a8ksr/wAOePrldPmS0gVDsIyfm5x0oA/iQeJ4JDFOpRl4IYYI/Cv6fv8Ag0otbof8FVtNvDE5hGj3Q34O3O3pnGK/sK8R/wDBqP8A8ErfE+t3OvanpWrCW5cuwjuSq5PoAOK+df2xf2P/ANl//g3n/ZX1D9rr9kPT7iDxFb3K2UUl43nYE2QeCKAP65o2Rx5qcZ4xSg7VCv8Aer/KWvf+DtT/AIKrtdyC21PRhDvJQfZV4GeP0r+p7/g3R/4LO/H7/gpl4r8T+BfjxLby6loFity7wRCNSWbbxigD+s8Ej603zCVwPvCmKZA/Uba/k2/4OMf+Czvx9/4Jm+LPC/gj4Cy28Opa/Ytcq88QkUFW280Af1mmbauTUbz+WwJ+6elf5SI/4O0/+Cr4OE1TRv8AwFWlX/g7T/4KwMf+QnoxP/XqtAH+rbPOkCb3ZUQfeLEAAV/jG/8ABd2e3uf+CrvxhntnWSM6y2GUgg/KOmK+7vEH/B1n/wAFUPE+iXXh3VNU0kQ3UZjYx2wUgH0IPFfz3/Gb4seMfjl8SdV+Kvj+ZZ9W1iXzrh14BbpQB5ZIp+92ppGcAda0tLtUvtSt7OTpLKqcejECv9LD9iz/AINV/wBgD4h/s8+G/iB8ZbTULjVdbsILzdbXJVQsqBun40Af58n7FdpcXH7WPw5S2jaV18Q2RO0FsDzl9K/3K9AUP4esF6f6PH/6CK/mxX/g3Y/4Jt/sU+Gdd/aN+G2l6kdX8LWEuo25uJvMUPboXX5SPUV/Jt8Vf+Dsf/gpHa+Nbuz+Gt9pcGjW0hit0mtQWAUleenYUAf6lr/IojA57VHOpaPYn36/z4v+CRH/AAcr/tr/ALVX7ZfhP9nv4/XNjcWfie+W2T7LAEwCOckV/oPp877U4UdaAP5kf+Dsqzurz/glDqUNpG0sg1e14QE8A+1f5Rht2Ehjbgr1r/dW/an/AGWfhd+2B8Kbn4PfFy3a60W5cO6IcHK8DBr8HLr/AINM/wDglLfTy3cmmawGlYscXRHJOfTpQB/lDSBQ3ydKXY+3I6V/WN/wcW/8EYPgB/wTK8K+F/HPwIinisNfvmtlW4lMjYVc1/J55XGf0oAaGUuN3AHpUnkO8giXknpX9YP/AAbo/wDBF/4Af8FNfC3ijxx8eIp5dP0C+W2ZbeUxthlzxiv6s7X/AINM/wDglHY3MV2ml6yWiZWH+lHqDkdqAD/g00sbuz/4JS6WLmNom/ti6+Vxt4yOxr+nYg4CryO9fN37Lf7Lvwq/ZA+Ftt8HPg9bta6LbMXSNyCckAHoB6V9H5RRlDQB/jLf8F67G6t/+CrnxgkmieON9ZbYSCAflHSvx3r/AGMf2vP+Dfj/AIJ/fttfEi6+LHxn0y+k1e9lM0r2s3lhmP0FfJX/ABCT/wDBJ7/oF6z/AOBR/wAKAP8AKDpwY5zX+r1/xCT/APBJ7/oF6z/4FH/Cj/iEn/4JPf8AQL1n/wACj/hQB/lCZI4pyHHB6Gv9Xn/iEn/4JPf9AvWf/Ao/4VHJ/wAGlP8AwShjXfHpes5H/T0f8KAP8o5onRhjv0r+oP8A4NK7O7f/AIKqaZMkL+SNHugZMHbnaOM9K/ro/wCISz/glDKuRpms7j/09H/Cv0D/AGE/+CK/7F//AATy8X/8Jz8A9Pu4tSCsgkuJPMIVuozigD9fS6RDiv4k/wDg9Ps7q8/Zt+F32OJpQusTbioyFGzvjpX9s8hUDaeQa+J/20v2BfgF+3l4Bt/h18erSW6061LNF5TbWUsMHBxxQB/h5+S3nfZ81/o9f8GWNleWf7N3xRN3G0edYh2lgQCNnb1r7u/4hKv+CUPl/wDIM1nPr9qP+FftH+xb+wN8Av2DPAM/w7+AtpLa6ddFWl81tzMVGBzgUAfb6SIRgV/lJ/8AB2zZ3a/8FWdTu3icQnR7UB8Hbnb0z0r/AFZoyrDYvAFfkd+3X/wRU/Yr/wCChvi7/hN/2g9Pu59Q2qnmWsnlnCdBkCgD/GLjikuHEcSl2PCqoyT+Ar/Z0/4IQQTwf8Eovg9b3SGNxoy5Vhgj5j2r4V8P/wDBqJ/wSq8M63a69YaVq5mtXDoHuSVyPUYr+g/4K/CLwh8CPhvpfwo8BxeRpOjxCG2jOMhR9KAO58SRj/hG79f+naT/ANBNf4Yf7Z5K/tZ/EdB/0MN5/wCjmr/dA8Sf8i7f/wDXtJ/6Ca/wvf20f+TtfiR/2MN7/wCjmoA+Y6KKKACpGVduRSIzIwZeoq35UjDzCVoAgWJvK80/d6VBX69/8EVv2F/B3/BQz9tLT/2fvHgf+z5rSS5kCPsOI8dD9K/v3sv+DSf/AIJTizi+2aZrBl2Dfi6OM45xx60Af5RtLkjpX+r3/wAQk/8AwSe/6Bes/wDgUf8ACj/iEn/4JPf9AvWf/Ao/4UAf5QpbOPalAZyFHJ6Cv9Xn/iEn/wCCT3/QL1n/AMCj/hU9r/waY/8ABKKzuY7uLS9Y3RMHXN0cZByO1ADP+DTK1u7H/glHpkd5E0T/ANsXRAcEcZGOtf03RSuRtk+9+lfOH7LP7LXws/ZB+FVt8HPhDbta6LauXRHOTk8dR9K+jGwjhW5U9MUATxSbvlPUVNX+eh/wV6/4OV/22P2Vv2y/Fn7PX7P9zY21n4Yvmtn+1QBsgDjB4r8sf+Itf/gq/wD9BPRv/AVaAP8AV9r5h/bNikl/ZO+IyQjOfD15gD/ri1f5kH/EWv8A8FX/APoJ6N/4CrX0f+y5/wAHP/7d/wAc/i5pXwU+PV1p914d8W3EekzJb24Dbbhtjc/Q0AfyN+LIJrXxNf291G0TLcSZDDB+8exrnyF34X7pr/WU8Xf8Guf/AAS8+LOsnx3r+k6ot3qCLLL5NwVXJGeABgda5s/8Glf/AAShVPMi0vWcj/p6P+FAH+Urh1ZQMYxX9Pv/AAaU2d43/BVjTLoROYRo90C207c7RxnpX9dP/EJZ/wAEoZVyNM1ncf8Ap6P+FfoJ+wn/AMEWP2L/APgnh4v/AOE5+Aen3cWpBXQSXEnmEK3UcigD9fxGoOaQRgU8HIzS0ARqmDmpKKKACiiigAooooAKKKKACiiigBB1NLSDqaWgD//W/v4ooooAKKKKACiiigAqKRAcN6VLTHbaKAIZdxHoKi5DCXsOMU7dIv8AtA02LzAh3jvxQBMVjDeYR1FJtiA+XvTZGKqMfNTTInAiGf6UASsPLhxHxjpWF4khkl8P3nPH2aTj/gJraZl3BS34VC+64R0kT5MbceoNAH+Gp+3R4a1zw3+1t8QrTXLV7Qza9eSRiQY3KZWwR7V8h1/ta/FH/gjn/wAE5PjN4ql8cfEr4X6XqmozktJLKpySTknrXnMn/BBj/gk+5Ecfwf0ZSOcbW/xoA/xkK/Zz/ggR4Y1/WP8Agqh8JtU021kmtrPV1M7qOFG09a/00pv+CDP/AASjYqy/B3Rhg8/Kf8a94+BH/BKz9gX9mrxXH45+CPw703QdTgcSJPbqQwYdDQB+hiHPC8AV/M5/wdceH9b8T/8ABKzVbLQbV7mddWtmKxjJ2gnJ/Cv6ZYyCMivKvi98Gfhl8evBs3w/+K+lRavpM53PbTDg4oA/wbHhMZaCVdroSDn1Hav7i/8Agy38K65Z/HP4leItRtJI7G50iJYZSMK5D9Aa/rcuf+CEH/BKe7maWT4QaNl2LM21uSevevxJ/wCC9fivwh/wRZ/Zx8KXn7BOjJ4Fu/E13JYyT6cdpCqoYdT2oA/sx+VYcEfQV/m1/wDB534k8Pa/+0n8NYdBuo52tdJmSZUOSp39DX4Tn/gvH/wVg6/8Lj1nPb5l/wAK/P8A+PP7TXxx/af8RL4t+OXiC48QalFkLLcYLc9aAPBMIqYPX1p0bmPheCagz8uKlAVhknGO1AC5IAjHBpoVQ3PIFPQbsF/4uK/06/8AgiZ/wRK/YL+K/wCwh4G+NPxs8Cad4m1LxJpyzvJOp3Bs+2PSgD/NL+H2iap4h8Yadpmh27XUr3EeIoxljhhX+4/+x1ZS6f8Asp/D21lTy5E8P2YZT1BEK8V8d+Ev+CJv/BL/AMCa7D4j8J/CfSLO+tzmOVFOR+tfp5o2laXoGmW3h3SUEEFrGscMa9FVRgAewFAHgP7YdtLqH7KnxDtrZC7P4fvFVR1J8lsAV/hv+OtC1bw54x1HTtctntZkuHzHIMHG41/vPa3olhr2k3GiapEJ7S7jaGWM9CrDBH5V+YHiv/giT/wTD8da1L4g8V/CjSb2+mOZJXU5J/OgD/MH/wCCB3hrxBrX/BVH4TarpFpJLbWesKZXUcINp61/smJkhlXgjrX58fAf/glb+wX+zV4tTxp8E/hzp3h/UrdxIlxbghgw6HrX6Ct8uZCdiigB6IojxF60Mr53Zwtfh1/wcDfte/Ev9ib/AIJ96l8ZvhNdy2GrLfw2ySwnDKJMjNf5sV//AMF6P+Crc93LNb/GDWVjdiVUMuACeB07UAf1of8AB6R4q8P3fwH+GWg6ddRyXlrrEpkiU8qCnGRX+dZul83zO4r6t/aL/bW/ac/a4uIpf2g/FV34kliffH9pIOGPGRivlJvMhYxSDGOooA/0U/8Agy38VeH7T4D/ABM0HULqOO8utYhMcROCQE7Cv7kkD5Dk/L2r/DG/Zz/bZ/aZ/ZJeab9nnxZdeHJLpxI5tSB8w+or7VsP+C8//BVmK6ie4+MGsNHGwJXcvIB6dKAP9mgxqH3460GONRgDrX4e/wDBvv8AtgfEr9tf/gn7pnxl+LV3Leau9/NavLMcswjwAeK/cbzFHU0AJGqxoFUYAqSv8wf/AILbf8Ftv2+fhN+3x45+CnwS8daj4Z0rw1qLW6JbsNrLjjivzM+EH/BwF/wU88O/EDTr/wAVfE/VtXsvOVHt3ZQGDMB6CgD/AGKsjOKWvDP2bvFmo+P/AIAeDfHGruWu9W0e2upWPUtJGrGvaW3McKcEdqALORnFB3dqoO0rMpC49a/P7/gqn8d/FX7NP7BPxG+NvgqV4NT0HTmuLd4zhgwI6UAfoMI0TJjGCalWNVIIFf41fif/AIL6/wDBVHVteutT0z4taxZ287lo4Ay4Vf7vSv6L/wDg2o/4K9ftl/tS/tsW37P37Qni6+8TWlzYz3W+5YEDYOBgUAf6EUkahty9ac6AjnkVHE3PPI9a/l1/4Of/ANvz46/sG/s+eD9b+BOrXGj6h4gvpbVprcgFcLkGgD+ooLH5Xk7fl6Yp6KAAg4Ff4yf/AA/k/wCCsLttHxi1kN6bl/wr+93/AINhv2/fjt+3h+z34w1j46apcarqPh++itVubhgWIKZJ4oA/qPSIE7n60oGzgcUpOAEB5pGUouTzQAu5m7YxTkUDnuajdvulOlf5hv8AwW2/4La/t8fCb9vfxz8FPgl461HwzpXhrUWt0S3cbWXHHFAH+nB4jGfD18o728g/8dNf4bP7dnhzXfDf7XPxCh1y1e1afXrySMOMblMrYI9q/RP4Tf8ABfr/AIKdaL4+0668XfFHVtY09pVjltHZQrBiB6DtX+kF8P8A/glJ/wAE8f2pfhX4T+NPxf8Ahfpmsa5ruk295c3MykszyorMTg9zQB/jZUV/rYft1f8ABBT/AIJv2n7Mfi3xH8N/hzpehano2l3F6k8SndmOMsB+lf5M+swJba1dWsQ2pFMyj2AYigDJGUb6VOsSkgMeTX6Ef8EsvgT4W/aV/b0+HXwR8aQpNpmv6itvOrjKspHcV/qjeF/+CBH/AASv0Xw/aabq/wAJtHvLiCMLJOynLEd+tAH8I3/BpR4Z1+4/4Kiad4iW1dtPj0m6QzgfIDt6V/qtV/Kz/wAFefhP+z//AMEcf2FdT/aE/Yj8I23g3xEt9Fapc6f8rKJsg8k1/B1d/wDBev8A4KtSXss0Xxf1hFdiyruXgE8Dp2oA/wBmkMCcCnV/FB/wayf8FPv2nP23PH/jP4cftDeIbvxBJoOnRzpcXLA5YtjoK/tWOS5yeBQBYyMZpT04r+KD/g6b/wCCnv7UH7Dvj7wZ8Of2evEN3oDa/pr3Dz2zAbWV8dK/jxsv+C9f/BVuG7juJfjBrLojhmTcvIB6dKAP9mF1BjG8Z5pWRkUDr/SvxA/4N+f2v/iT+2z/AME/tM+M3xXupbzVnvprV5Jjkt5eBmv3EAbGW4FAH+MX/wAF5Af+HsHxiB5P9st/6CK/IEjHFfsF/wAF4Qv/AA9k+MXO0f2y3P8AwEV+TOjWkd3rNrazN8skyJ9QWAoAxACeBX13+wt4Y17xN+1v8PrXQrV7swa9ZySCMZ2qJVyT7V/p5fsM/wDBBb/gnHefs0eEfEvxF+HOl63qGr6XbXklxKp3ZkjDEdvWvp/x7/wSk/4J5fsq/C7xZ8b/AIO/DPTNI1rQ9Jnu7aeBSGV4ULKRz2IoA/YbwzG0fh2yA4At4xj/AICK30DYBJ+tf47vxc/4L9/8FN9b8e6hfeDfifq2kWHmtHFZxsNqBSQMceleZN/wXk/4KxghZPjFrKj/AHl/woA/2a1RI8mMYJp4VY8HpX+Mov8AwXm/4KvoQG+MOsn0+Zf8K/pF/wCDan/grz+2V+1R+2zbfs//ALQni2+8TWdzYz3W+5YEDYOBgYoA/wBCzIzijIzioiArelfy7f8ABz5/wUA+OP7Bn7PnhDXPgXqlxpOo+Ir2W1M9uwVl2rkH8KAP6j6K/wAYk/8ABeT/AIKwrwfjHrIP+8v+FN/4fzf8FYP+iyaz/wB9D/CgD/Z4or/GSs/+C9n/AAVbgu4p5/jDrEiI6sylhyAeR0r/AEoP+Dfn9sD4l/ttf8E/9M+NHxXvJbzVnvprV5ZjlmEeBnigD9zaKg+YA5OafHnbyMUASUUUUAFFFFACDqaWkHU0tAH/1/7+KKKKACiiigAooooAKhmCBdznAFTVBKgOD6UAZd1qunWiiK9njg3fd3sF4/GoD4m8PFf3V9bsen+sX/Gv4P8A/g76/a1+NfwL+J3gL4efC/W7rR7bWNLklme0meJsq+Bjbiv4krT9tP8AaztLqK+j+IviBvKcPtN7Ngkc4+90oA/3QopobhBNaMsinj5TkfpUzJt4jHWv58f+DaL49/EL9ov/AIJpaX4++Jl3Je6kNSnt/NlYsxCYA5bmv6CY5ZJAMjBHWgDPutV0a0kEVzcwxsP7zKpH5mmJrmgs48u/gb2Dr/jX+TR/wXp/bq/ach/4KQfEb4a+HPFup6Npugao8VvHZXMkY246EKQK/K74P/t8ftc+CPiDpmtW/j3W7x0nRfKnu5WQgsOoLYoA/wBvaMCWUXW75ccAdKfJKkfzDHHX6V4T+yvr174n/Zs8DeJdWffc3uiWs0rdcs0Skmk/ak1u/wDC/wCzZ458SaS+y6sdEup4mHBDLExFAHsh8ReHozl763GexdR/WmDxF4e3FWvrZR2/eL/jX+I/8Yv2+P2ufHPxB1LWpfHmtWTtOw8q3u5VQAMQMAMBXk//AA2b+1orYPxH8Q8f9Ps3/wAVQB/uaJr+hSE7r+3UDpiRf8adF4j0Aj97fWykdP3i/wCNf4Zh/bL/AGs1I3fEfxDg+l7N/wDFUL+2V+1sx2D4j+Icf9fs3/xVAH+5mnifw/u8t722A/66L/jX8L3/AAeZfFfwD4r+EXw+8BaJfxz6hpeqyvNHGQdoKYHQ1/Dk37Zf7WQXf/wsfxDj/r9m/wDiq8m8d/Fn4o/E10ufiJr99rRBypvJmlwf+BE0AecLuA4oz0K9RQ6lfoelMyfyoAmxH5fq1altpOq6od+n2kkuB/ApYcfQVjbvl21/pgf8Grf7Fv7PfxA/YCs/jR4/8OWGtanc6jcWx+2QJKNqnj7wNAH+b1ofgPxf4j1W30PSNOuHurpxGieWwGfyr/ZZ/wCCJfhDXfA3/BMb4TeFfEcRt7+y0lUljPY5PFfZNv8Asc/soWMiz2vw88PxyLyrLZwgj6fLXvWj6LpHh/T4tI0O3jtLW2G1IogFUD0AHAFAGirMG+dcHtWTLruhRS7Lm6t45R2LqDj86k1yUwaFezqcFIHZfwU1/jKft+/t+/tY+Mf2sfGtvaeNdX02HS9XurSGK1upETakhUcAgdBQB/syv4m8Nwybm1G35GMeYn+NNk8UeHUx/p1tluP9Yn+Nf4Zrftl/tZACM/EbxDnP/P7N/wDFU8/tk/taebtk+I3iHPb/AE2bH/oVAH+5j/wkvhqNwh1G3yf9tf8AGmN4h0Jsg3ttj08xf8a/w0n/AGy/2sUOw/EbxCW/6/Jv/iqiH7Zf7Wrfd+I/iH/wNm/+KoA/0jP+DtP4vfD2T/gm/e/DODUYpNWm1O1mSBGVvlB9jX+XANhciU7cDjFepeOPjr8Zfibbi1+IfijU9aiGPkvJ3lXjpwxNeVNgj2oAt2lndXsmLFHkk9EUn+VX38O+JFlzJYXDN3/dt/hX9an/AAaP/sw/Cr9o79pTxz/wtTTINTh0TTobmCK4jDru346NxX+jGP2Mv2SnBUfDjw7n/ryh/wDiaAP8MtvDHiOMbm0+4Bbp+7b/AAqeHwj4nmuorKHTrhnmKqv7turcDtX+5W37Gn7JiEb/AIceHv8AwCh/+JpT+xx+yikitD8OfDwcYI/0KHjH/AaAPxH/AODXLwhrXwk/4JeaV4Z+ISpp162qXEwjlYKdrEFThsdq/o2XxF4cJwl/bt7b1/xr/M5/4Ogv2o/jB8Dv277r9n74JarceEtAs9OtrpIdKka3UMy8/Km0dq/mq8L/ALc37W/h7XbbXoPiDr0xtHEnlyXkpVsdiN3SgD9EP+C/nwm+IGi/8FOPid4vvNOlOnazqzPaSxqzqwC9sDHavyW+FPwn+IPjzx5pvh7w1pc81zJcIVUow6MPav8AXy/4JRfD74UftS/8E8Phh8YfjR4T0nXdc1fTFnuLi8t0mcsSeSzrk1+i+mfsifsu6LeLf6R8P9Btpk+68dpEpH0IWgCH9kbTbrR/2XPh9pmpL5c9toFnFIvoViUEV9CvLHASc9OTnjAp1rZWtlapZ2kaxxRKFRFGAAOgA9BXgf7U2t3/AIU/Zr8deI9MbZd2OiXU8TA4wyxMRz+FAHs48SeHVb57+AZ7F1H9a/LD/gtZpFz8SP8AgmN8WvB3g5ory/vNJZIYo2VixyOABmv8mX4u/t+ftb+O/iFqetzePNbsmedlEVvdyqgwxxgBgBX6hf8ABDD9tH9orxH/AMFDvh/8HfH3iXUPEeieJdTWC7ttRneZGXHTaxII4oA/ArXvAXjDwzq8+happ1wtzat5ci+Wxww7dK/qN/4NNPhV41s/+Cklj8Tr2yeDRYNLuoHnmBUBivA5AHav9Jaf9jz9lS9uHubz4d+H5JWOXZrOEkn/AL5r8LP+DiKXw3+xN/wTc1X4mfs6aDp/hfVzqUNsJ9NiS3YLJkNhkANAH9JP/CReHFy6X9vj08xf8a/hd/4PM/ip4G8UfBj4c+C9Fv47jUdP1aVp4kIO0FMDoa/h4uP20v2tb26luv8AhYviBTKzPgXkwAyc4HzV4/46+LnxS+Jkqt8Q/EF/rbIcr9smeXB/4ETQBwcS2+5GdyM9fav9G7/gyvKR/s2/FXccr/bMOD/wCv8AOIIwxJ7V/o3/APBlZMP+GbfilFjk6zD9PuUAf27oxkO1hj0qnc6pYaefJu7iKL/fYL/OrkcqOdgHNf5oP/B1X+2l+0L8P/8AgoJefBbwD4kv9E0q2062uV+xTvEdzLzwpHpQB/pUrr2gKBHHfW7f9tF/xr/H2/4L9/CP4gaN/wAFOvif4suNOlbT9Z1ZntJY1ZgyhR0wMdq/Orw3+3V+1x4b16112L4g69O1o4kEcl5KVbHYjd0r/WZ/4JQfD/4VftSf8E8Phj8ZPjV4U0nXNc1jTFnuLm8gSZ2YkjJZ1JNAH+Qh8LvhT4+8beP9M8N+HNMuJbyW4TapRh0YZ7V/uAfsi6Tf6N+y58P9Hv12T2+g2iOvoyxKCKk0v9kb9lzR70ajpfw/0G3nj+7JHaRKR9CFr3+zs4LC3Sys0WOKMBUReAAOgA7CgD5+/a102/1j9ln4gaXaR7rifQbuONR3JiYAV/h/fFX4XePfA3jzUtB8Q6VPDdRXDllCMRgscdq/3iLqztr23e0u0EkUi7XRhkEHjBHpXz9qf7IP7Lus3jahqvw/0G4mf7zyWkTE/iVoA/yYv+CAnwl+Ieuf8FO/hf4wtdOlTTtI1ZXuZZFKhBj3Ff7BbeINBLfPfW4x28xP8a/Hj/gq98PfhV+y1/wTv+J/xg+CvhTSdC1zSNMM9tcWUCQujggAhlUEV/k2eI/26f2s/Ems3WuTfELX4JLpy/lx3kwVc9gN3SgD/Ru/4O1fi98P5P8Agm3e/Da31CKTV5tUtZkhRlb5AevBr/LgILJ5KLkrzmvUvG/xz+M3xPg+x/EDxRqetRDHyXs7yDjpwxNeSbnUc0Af28/8GVo/4yN+KBlG3/iTw4P/AAOv9HIH+FuM9K/zjP8Agym/eftJ/FPd20aH/wBDr/R5dQVwOvagD/PL/wCDzb4VeO/FXxk+HPjTw9YSXOnabpEqTyIpO0l+OAK/hktvCfia4uktYdPuDJIwRR5bdScDtX+8J47+Evwt+JUaQ/Ebw/Ya0qDaovIVlwPT5ga8r/4Y2/ZQjdPI+HHh4OCCD9ih4x/wGgD8SP8Ag1y8Ia78JP8Agl7pPhr4gJHp942qXEwjlYKdrEFTg47V/RrL4m0EEeVe27Z6jzF/xr/M5/4Ogf2ovjD8Dv277n9n/wCCWq3HhLQLPTra6SHSpGt13MvPyptHav5rfDP7dH7XHh7XbbXoPiDr0xtHEnlyXkpU47EbulAH6Jf8F+fhL490P/gpt8TvGdzp0smnazqzPayxqzBlC9sDHavyY+FHwl+IHxC8f6Z4Z8N6ZcS3s06FEKMBgMM84r/Xp/4JSfD74UftS/8ABO34Y/GD41eFNK13W9W0xZri4vIEmdmJIyWZcmv0Auf2Tf2YfD2n3OtaL4A0G1uYIHaOSK0iVhhSeCF46UAR/slXWneGv2YvAHh7WruGG7ttBtEkRnUEMsSgjk15r+3/APGX4eeBv2SfHja5qUCLeaJdwRbWU5YxMAOtf5Mn7ev7e37UviL9qbxlpmmeMtW0e00fVrqyt4LK5kjQRxyFVAVSAMAV8Ma/+1T+0j4q09tJ8SeOdbvbZxhoprqRlIPsWxQB4/4geFvEF5IhyGuHP4bjWUsb3EvkwgyE/dAHNVy7M248k1+mf/BHn4W+GPjV/wAFHPhh8NPGMSzabq2qLFOhUMCuD2PFAH51J4b8RzABbG4JHT923+Ff1U/8Gl/wn8fL/wAFJ7D4h3GmyQ6TBpd1A8zqVw5Xgcgelf6N3hn9hb9kjwv4fs/D0Pw+0GdbSMRiSSzhLNjuTtr2DwP8Cvgv8MJ/tvw/8LaZos3TfZQJEef9wCgD1qRQcKelfxk/8Hj/AMLfG/xG/Zl+Hl14OsmvF0nU5p7nYCdq7MZwBX9l4dt2B979K5Hxf8PvAnxGshpnjrSLXV7dekd3Gsij8GBFAH+DA/hzxATu+wXHP/TNv8KT/hGfEH/Phc/9+2/wr/c8H7GP7JQ/5px4dz/15Q//ABNNk/Yz/ZLXj/hW/h3/AMAof/iaAP8ADMtvCfiW8uY7WHT7kvKwRR5bdTwO1f6w/wDwa1fDnxZ8Mv8Agl3pPhzxratZ3h1S4mEbDnaxBU8gdq/atf2OP2T4nUx/Djw6HHIIsoeMf8Br3nwz4Y8L+DdNXRfCWnwadaJ92G3QIo+iqAKAOjLK3K9qehLDJqMyKmFI68cU9G5KelAElFFFABRRRQAg6mlpB1NLQB//0P7+KKKKACiiigAooooAKgmYcIe9T1G/TPYUAfwOf8He37I/xs+NvxM8CfEb4XaJeazZ6NpckU8dpE8rbmbIwFBr+JSw/Yq/azu72K1/4V14hUyOEBNlNgZOOfl6V/uc3emafeDz9Qgjmx03qGwPxFVP+EY0Dy/3NjbDP/TNf8KAPwT/AODav4BfET9nL/gmzpXgL4nWrWeof2jNceU6FGAfBGQa/oF8wNnIwKqWlnBa/ubZVSMfwKAP5VcdwG8txweKAP8AGR/4LxIg/wCCrvxiA5/4nLY/75Ffk74fn+z61aSE4VZ0Jz6BhX6wf8F4kVP+CsHxijXgf2y3/oIr8h5CowoHIoA/2ff+Cfn/AAUB/ZN8Tfsm+C7a48a6Rps+maRbWssN3dRq25IgDwSOOKT9v/8A4KCfsneFP2TvGsFt410jUptU0i6tIYbS6iZtzRFRwpPHNf4y8eu63bKI4bydFx0V2A/IGkl1zWbkGOa8mZcdGdiP50AT6/IJtZvJQcq87lfxY4rHVE79utRgpt5HNIPmX6UAO3lWDL0HSuo8N+EfEfjHUl0bwtYT6jeyDKw2yF2I/wB1a5kSbsFxkLX9If8Awa1fDnwn8S/+CoOlaD4ztVvLNdLuJhEwH3lAKnkdqAPxTh/Y2/atfEp+HPiEqRlcWU2Pb+GvM/Hfwm+JvwyZF+Ivh7UNFkc4AvIXiyfQBgK/3fLXwh4XtbaO0isLYRxKFUeWvAAwO1fw0/8AB5t8J/BPhb4O/Dvxv4fsY7bUdS1aVJ5EULuATgcAUAf55cjlzuNR05hjjGKbQAV/q6f8GlQJ/wCCUWlnov8AbN1/MV/lF1/q7/8ABpSgb/gk9pZboNZuv5igD+naTCMSBya8T8XftH/AL4f3raR488ZaPpV0hw0VzcxxsD6YZga9syxyT09K/wAd/wD4L+/Fr4heIv8Agp58T/CeoanN9h0rVmS1jVmUKu3pwaAP9TX4zf8ABQD9kPwD8OdS8RT+O9FvRFAyiK3u4mY5UgYANf4wH7UviGx8V/tGeOfEujsGtL7XLqeJh3V5GI5+leOv4h8QOm1r2dlXjl2x/OsJ5GcknvQBetIbm/uI7C3jaWSRgqKgyxJ6AAV9Caf+yT+03rVkt9pXw/1+4t3H7t47SVgfxC1F+yDptprH7UfgDSb5Q0FzrtpHIp7gyqCK/wBwP4U/CX4f+BPh/pfh3w7pdvFaw26FVKKeqj2oA/w3PFv7OXx/+H1idY8beDdX0m2jGTLd20kagD1LACvEyQzE9K/2Iv8Ag4B+Dvw81/8A4JhfFDxZqOmQ/btI0lntpEVV2nI9BX+OxQB1Hhvwx4n8ZX66D4RsJ9Run5ENuhdz9AozXu8X7GX7WUkQkj+HXiDaRkH7FLz9Plr9p/8Ag1p+HHhP4nf8FRdK0Hxnard2a6XcShGxjeoBXqO1f6wkHhDwzbWsdkmn2/lwqFX92vQDA7UAfwp/8Gg37Ifxx+CfxF8dfEj4o6LdaNZ6zpccUEd1E8T5D55DYr+80nZ8qfhVa003TrRd+nQxwg8HYoX+Qq+QGTaBwKAPNPHXxe+GHwzRD8R/EGn6KrjIN5MsQx7biK8euv21/wBk6zt5Zz8RfDzGJC3y3kPRRnH3q/h4/wCDzb4peN/C/wAY/h14D0K+ktdM1HSZXnjRiu4q+B0Ir+F0eI/EHe+uP+/jf40Afvt/wcufHv4f/tFf8FK9V8ffDe8jvtO/s2C3EsTB1LICDgjiv58iuwcn8qnlnmuXMtyzSN0yxyarIVHUZoA/1sv+CCH7dX7Mtv8A8E3vh18NvEvi7S9H1LQNKWKeO8uI4znPYMRX7U/8Nn/sm/8ARR/Dv/gbD/8AFV/hbW+s6vaKI7S7miXsFZlH6Gp/+Ek8Rf8AQQuP+/jf40Af7oX/AA2f+yb/ANFH8O/+BsP/AMVXiv7Rf7Qv7PXxX/Z88b+BfAvjjRNS1LUdEureCC3uo3Ys8bKoCq2eTX+JP/wkniL/AKCFx/38b/Gvs39gj4q/EHwV+1l4Cu/D2pzR/bdctLeUMzMCrSqCMZ96AE+L/wCwJ+1p4G+IWpeHpPAet3jJOzedBaSshDMcYIUiv1P/AOCFX7FX7RHhr/goZ4A+MHxB8OX3hvQvC+prNeXGpQPCgXHXc4UDrX+sRovhzQLrQ7Ce7srd3MEZyUXrsHtX5j/8FsdSk+Hn/BMb4r+L/B8cVlqNnpLPDLGoBByOmMUAfa13+2F+ylYzNBefEPw/HJHwUN5CCPqN1fyz/wDB1P8Ato/s/wDj/wDYDu/gz4F8Safreo3GoW1yv2KdJAFU8/dJr/Nw17x/4w8R6pca1q+oXD3Vy+923sMn6ZrAu9W1TUYx9vuZJgOMOxb+ZoAo5bHk9uvFdl4N+Hvjn4h6g2l+ANIu9WnGMx2sbSMM9OFBrjIyuOODX9mP/BnH8MPBfxG/aa+Il34uskvG0vS4ZoAwBw2/HQigD+WY/sX/ALWpXB+HPiHC/wDTlN/8TX+i/wD8Gk37MHxZ/Zv/AGaPHKfFfTJ9Ml1zUIbmCKeNo3Chcchq/rOtvDGhgh2sbYL2Xy14/St2K2tbSIpaxJCv+yAB+lACgsuIwMGv8pP/AIO2P+UsWqf9ge1/9Br/AFdEUsvz81/lF/8AB2wP+NsOqgf9Aa1/9BoA/mAr/Z1/4INqrf8ABJv4OBv+gMv/AKEa/wAYwDgmv9nX/gguoP8AwSd+Dg/6gy/+hGgD9ci3kLlyAB/KvBPEH7U37NfhPVjpfibxzolhdpwYp7uJWGP9ktXs/iGMx6Je3RPzpbuVPphTX+Ix/wAFAfjD8QvHv7Wnj2bxNqc8sllrl3bw7WZQEWVgBgH0FAH+zh/w2f8Asm/9FH8O/wDgbD/8VR/w2f8Asm/9FH8O/wDgbD/8VX+F7/wkniL/AKCFx/38b/Gj/hJPEX/QQuP+/jf40Af6zH/Be/8Abs/Zml/4Jx/EP4beGPFmmazqev6W0VullcRyEHPcKT6V/kptL5jjzeg9K1W1vWbqJo7q7mlj7qzsR+prIyN3zD5aAFby85QHFQVOHfHlg8VBQB/b5/wZQ/8AJyfxU/7A0P8A6Mr/AEdJmxgDrX+cV/wZRsB+0n8U8/8AQGi/9Dr/AEeZBlcHpQB5j46+L3ww+GaIfiP4g0/RVcZBvJliGPbcRXj11+2v+ydZ28s5+Ivh5jEhb5byHoozj71fw8f8HmvxS8beGPjJ8OvAegX0lrpuo6TK88SEruKtgdCK/hdPiHxCAc31x6f6xv8AGgD99v8Ag5c+Pfw//aK/4KV6r4++G95Hfad/ZsFuJYmDqWQEHBHFfz5Fdg5P5VNLPNcN510zSMeMscmq4wPvCgD/AFrv+CCv7dn7Mlt/wTc+HXw28T+LdL0fUdA0pYriO8uI4zuz0AYiv1R+MX/BQL9kTwL8PNT8RXHjvRb0RQMoit7uIsdykDABNf4i1trOqWcZhtrmaMdAFdlA/AGpX8Q6/LFh7+cgdi7f40Aez/tTeJNO8V/tI+OvEelnfaX+t3c8TDurSMR+lfPVSO287yeTUdABX6c/8Edvid4a+DP/AAUa+GPxN8YTLBpukaosszsQAAAe54r8x8EDNTwyNFIHQlSOhHGKAP8Acr8Oft1fsj6/4ctPEsfxB0GJbqMSCN7yIMM9iN1bS/tmfsnt84+I/h3J6f6bD0/76r/DSTxJ4gUYF9cbRwAJG/xpn/CReINuf7QuPp5j/wCNAH+5i37Z37KG/aPiP4dz3/02Hp/31XrXgT4v/DD4mI5+HHiDT9aWMZJs5llAH/ASa/wcf+Ei8Qf9BC4/7+N/jX90n/BmV8VfHHij4x/ETwHr19Jc6Zp2kRPbxuSdpL4PU0Af6FGRnP8AF69q4Dx18Xvhh8M0Q/EfxBp+iq4yDeTLECP+BEV6N5Tbcfw+lf56H/B5t8VvHHhb4yfDrwDoN9JbabqOkSvPGhK7ir4HQigD+5OL9sv9lJ5hEPiN4dLnhcXkP4D71e7+GvF3hzxdpq614Vv7fU7KThZrZ1dfwI4r/BctvFPia1uY7qDULgPEwZf3jdQeO9f6xH/BrP8AEPxb8Sv+CXula74yujd3i6ncRCRs/dUgKOfQUAf0hsMDC/rToj1B60zymKDzOSKmQkjmgB9FFFABRRRQAg6mlpB1NLQB/9H+/iiiigAooooAKKKKACoZGUYB/KpqhkHG4DkUAfJf7R/7bn7MX7JEMVx+0L4rtPDkE6eYrXJwMDjtXxj/AMP5v+CULpt/4XHoy4P95v8ACv5Jv+D0fxN4h0/47/DTQYLl4bO50iUyQKflYh+Miv4bVVgPMxxQB/s1P/wXh/4JQscp8Y9GBHfcf8KxfE//AAX0/wCCWeleH7rVtI+K+j31xbxlkgVzliO3Sv8AG1i2kfPwBShsHzPug9qAP0A/4Ko/Hbwt+0x+3t8RPjd4JkSbTNf1E3EDRnKlSB0r4ASOS5ZYYkyxIUVH5u7gKAT0rd8NwvL4gsIu5uIxj1+YUAfon8L/APgjv/wUd+M3heHxp8OPhfqmq6ZMqlJ4lGCCMjv6V6R/w4X/AOCsX/RHdY/75X/Gv9bn9hbw1oPhn9kj4ew6LZx2izaDZySCMY3MYV5r6+HTigD/ABh/+HC3/BWH/oj2sf8AfK/40f8ADhj/AIKxAf8AJHNZ/wC+V/xr/Z4qKZti7/SgD/GQj/4IM/8ABWEDcfg5rP02r/jX77f8ED/+Cd/x/wD+Cb37U8X7X/7bmk3PgDw7p9nNZvLfqAgLj5eRn0r/AEdoycCQ9DX8z/8AwddeINZ8Mf8ABKrVL/Q7l7eVtXtU3IcHaSQRQB9zXn/BeL/glLZuYZfi/owdGKMNzcEcelfiB/wXu8N+GP8AgtP+zp4Tsv2AdXTx9eeGLuS+lh00bjtZQo6iv81KUyysbiU7txyT7mv7j/8Agy28T+Ib749/EzQ7m5d7G30eExQk/Kp39hQB/PU3/BBr/grE/P8AwpzWc/7q/wCNR/8ADhb/AIKw/wDRHtY/75X/ABr/AGdUJPBp9AH+MlZ/8EEf+Crk93FBP8INYjR3Cs21eATgnr2r+8v/AIJDfFX4Af8ABHD9hHTP2ff22vF9t4N8QLfSXT21/wDKwE2CowBX9UVf5UX/AAdseJvEEn/BULUfDM91J9gTSbV1t8/KG29cUAf326R/wXO/4JXa9qkGj6R8XtHlubhgkaKzZJ9Olfwm/wDBX7/gkH+2X+0/+2Z4v/ag/Zd8I33jXwz41vmu7W6s1GzZjAIPHpX8nljeXuk3seo2EhhniO5HXgqR3Ff7N3/BDLV9U1z/AIJYfCLWNanaeeXR1Z5G5LHJ60Af5bni/wD4Inf8FO/A2hS+IvFXwm1axsbcZlldRgD86/LnWNG1Dw9q1zomsQmG5tJGiljPUMpwR+Ff70fj/Q9H8T+DdR0vWbdLq2e3fcjjI4U1/hv/ALYlpaaf+1N8Q7a2AVI/EF4qIOgUSsBQAv7F3/J2vw3/AOxhsv8A0ctf7oXhv/kXbD/r2j/9BFf4Xv7F3/J2vw3/AOxhsv8A0ctf7oXhv/kXbD/r2j/9BFAH5M/8F6QD/wAEnfjH/wBgZv8A0IV/jHfIhDD5h3Ff7OP/AAXnGP8AglD8YX9NGbj/AIEK/wAY8p8w3/KGoA/cT/g37/a8+Gv7E37f2m/GT4tXcVjpC2M1s0kxwoMmAD+Ff6Tdn/wXq/4JUmxikuvi9o6O6qWXcflyOnTtX+NGC5+VRuqJgcB+tAH+51+zh+25+zB+1tbS3H7PHiu08SRQJ5jm1JICnj2r6zi6fd21/nT/APBlv4k8QX/x4+JWiXFy8tlb6PCYoCflU7+wr/RUi++3P4UAf5xn/B69/wAnJ/Cv/sDTf+jK/iDr+3z/AIPXv+Tk/hX/ANgab/0ZX8QdAH3B+zp/wTq/bJ/az0ka5+z94GvvEVpkjzLYAj5ev5V9Qn/gg3/wVbE/kj4P6xx1+Vf8a/vY/wCDSnwzoCf8EvtO8SxWsf299WukafHzEAjjNf1JZj3MkfLgUAf4zD/8EGP+Cr5YiP4PawQOnyr/AI1H/wAOFv8AgrD/ANEe1j/vlf8AGv8AZvgbK9MH0qzQB/jD/wDDhb/grD/0R7WP++V/xr6v/Yw/4IXf8FE/C/7Qfhrx98YPh9qfhrQfDeoQalc3c6jaqQuGbPXgAV/rk18x/tjXdzZ/sr/EO5s2KSx+H7xlI7EQtgigD4m1j/gtl/wTF+HE8Pg3xb8VtJtdQs41jlidjuXaMentX44/8Ftv+C2/7BfxZ/YO8cfBD4K+N9O8R6p4k05reNYGO5Wzxx+Ff5oXj7WtY8SeM9Qv9bna5unuHBkc5Jwxrkv3qkqy529aAIyNgIYcnoaRlAbEZzxQSWGWPI6ClcmNdmMUAQV/b5/wZQ/8nJ/FT/sDQ/8Aoyv4g6/t8/4Mof8Ak5P4qf8AYGh/9GUAf6O8pIHC7q+S/wBo/wDbc/Zg/ZJtorj9ofxXaeG4p08xDckgbRx2r6vm++uDz6V/nV/8HpHiTxBYfHj4aaFbXLxWVxo8plgU/KxD8ZFAH9Zl5/wXr/4JUpZSyWvxe0dnjUlVDHnA4HSv82D/AIOCP2v/AIbftsf8FAdS+M3wpu4r3SXsIbVJYTkEx5Ffh6ucF84pQEEec/Me1AENf6fH/BEX/gtr+wV8KP2C/A3wQ+NvjnTvDOqeGdOW3aOdjuJzyMDpX+YdgqR5nApUCiUoh+hoA/2IfjD/AMHAH/BMPw/8PdTvvCnxP0nV74QskdqjEFyykegr/JM/aQ8Wab8QPj74x8c6Q4lttW1e5uotvTbI5YY/A14uzl3CovI4qIOCCMbaAK1FFFAD4wGbaxwKkbGNgbI7VEoBPPFWhMNhUID70AeofCD4M/Er47+K4vh/8KNIl1nV5xuSCEfMQK/R23/4IRf8FWruNJYvg/rBV1DKdq8gjjvX3Z/wal+HNE8Tf8FUdK07WrdLqIaTcuEcZAYAYP4V/q/xW0capbxfIIwAMeg6CgD+K/8A4NZv+CYv7T37EHjzxj8SP2hPDt3oEuvaclultcqBtZWz2r+1cyHrnn+7QQpc7Tg03aSQmPxoA/ir/wCDpr/gmJ+09+29478GfEj9nrw7d+IJdB017d7e1UHJZs1/HQf+CDn/AAVgDbP+FO6z/wB8r/jX+zcy+WRk5aolTa2zPJ5zQB/jLH/gg5/wVgUbW+Dus4HP3V/xqjq3/BDT/gqXo+lza7qXwj1eG0tk3u5VcAD8a/2dvLZuB931qtf6dZ6nZS6TdwrLbTLtdD0I9MUAf4KvjvwL4q+HHim68G+NLJ9P1Kyfy5oH+8p9DXGV+tn/AAXM0fTfD3/BUz4u6Po8KwWsGrsscaDAUbRwK/JOgArX0bR7/XtUt9F0mMz3V3IsUUa9SzHAArJHUV9Ofsh29rf/ALVnw7trtAUl1+yVk7EGVRQB9g+EP+CJn/BTzx5oEPibwt8JtWvLGcZilRVwR+deX/HT/glf+3n+zb4Ul8bfGr4dajoWmW6GR7idQFCjvwa/2q/AOhaR4c8F6dpmhW6W1rHbx7Y0GF+6O1fk1/wX08MaBrH/AASr+LGralaRy3Fno7GF2HKnI6UAf41+C3CivVPhF8F/iZ8evGMPw/8AhRpMusavONyW0I+YgcV5c2+IDtkV/S//AMGpPhrR/Ev/AAVW0nT9etkuIhpFy4RxkZUDBoA+Erb/AIIRf8FWrpEki+D+sEOoZflXkHp3r+xv/g1m/wCCYv7T37EHjzxj8SP2hPDt3oEuvaclultcqBtZWz2r+1CO3jQLbxfKEAAx6DoKnIUudpwaAAyHrnn+7X8VP/B01/wTE/ae/be8d+DPiR+z14du/EEug6a9u9vaqDks2a/tU2kkJj8aey+WRk5agD/GZs/+CDH/AAVcmvorab4P6zGruoZtq/KCcZ69q/0ov+Dfj9kP4lfsS/8ABP8A034NfFu0lsdXW+muHjmG1lEmCBj2r9wFj2v5ZPJ5zTlVGfk7sdqAH4kRQn3qnQKPlHUVC7nAB4J4qSLAyvcUATUUUUAFFFFACDqaWkHU0tAH/9L+/iiiigAooooAKKKKACmsoYYNOooA/wA4T/g9bO39pD4VoP8AoDTf+h1/EOWJHpiv7d/+D17/AJOT+Ff/AGBpv/RlfxB0AODEcU7Jypp3y7v3nPHamLs53j6UAKTmTNauj3v2DUbe6bpFKr++FINZZ3NtUfhTw/lnP8QoA/0vv2K/+Dqj/gn98Pv2efDfgD403eoW+q6JYQWW22tiV2xIF68elfo58BP+DmD/AIJqftFfECz+GngDVNSGpXsixRC4g2KWc4AyTX+RJjDe5r6k/YquZ7b9rD4cvA8kTN4hs1JQkZHnLxxQB/uf2d3HdxLLF0dQw+hHFTSKsjD27Vi+Gv3fh6xA/wCfaP8A9BFbKs4PSgAVcHivyL/4LW/sI+Mv+Chf7FOofs/+Btv9ozXkVzGGbaMx9Oa/XJESPJQ9etOBIfA6EUAf5TV1/wAGlX/BVlbqX7LpmjmEMwTN2v3c8dvSv6nv+Dc3/gjH8ev+CY/iPxP4/wDjzHBFqWv2K2zJbyiRQVbPGK/rDjcBzEo7fhSFA+BL1X0oAejjHnL901+bf7en/BVj9lb/AIJyw2kn7Rl7cWpvojNClsm9ioOOlfpMVyfRa/zk/wDg9RvLtP2i/hdbLIwiOjTZQE7T8/cdKAP3/sv+Ds3/AIJS3s0cEWqawDI4Rc2pHJOBX40/8FV/+CVXxW/4LffFgftz/sKm31LS9Rt4rIG9lEX+qAz8vPPNfwNITvB6Y6dq/wBXf/g00u7mf/glHpct3I0r/wBsXQBYknGRgc0AfyOeF/8Ag0p/4KiSa9bJ4l07SY9PLgTsl0u4L3xxX9W/wl/4K8/sJ/8ABHL9n7wj+xP+0Lqd8viHwdbfYLmO1i84Ky5PUGv6nd5HDDr6V/jOf8F6bu9k/wCCrfxfillZ0j1ltisSQPlHQdqAP7oPi3/wdpf8E2pPAGo2/wAN77U5dVliZIVmtSF+ZSOa/wAy746+OLf4m/GXxT8Q7H/U61qc94vGPllcsOPxrycklsnjNSsBwq9KAPpX9i0E/tZ/Dk+niGy/9HLX+5t4cuR/wjmn4/it4wP++RX+Gb+xgN37Wnw5z1/4SGy/9HLX+5j4a8w+GrCPjcLaP/0EUAflJ/wXlb/jU98Yieo0Zv8A0IV/jHI2HBfpX+zN/wAF4C//AA6g+MXm9f7Gbd+Yr/GWUqGz2oAe3HzA89qZ5jf5/wD1U/blfMPQcYqGgD+33/gyjOf2kfimvb+xov8A0Ov9HjCoM1/nDf8ABlD/AMnJ/FT/ALA0P/oyv9HaQAsB3oA/zif+D1Qed+0h8LZDwF0eYf8Aj9fxFtEy/Iep5r+3T/g9UKv+0h8LUfhv7Hmx6ffr+I5PL2/7f6YoA/1av+DSld3/AASf0sngDWbrp9RX9PZAIyBiv5hv+DSglP8Agk/pm/gf2zdfzFf0+Y6EcUAfh1+15/wcDf8ABP39iL4lXXwo+M+pXyatZymGVLWHzMMPXB4rwP4df8HS/wDwS6+Jniu28I+H9V1Rbm6bahltyq54HUnFf57H/Beq8urj/gq38YIZpHdI9YYIrMSF+UdB2r8mPCd1dW3ibT5rWRonFxHhkOD94elAH+9X4T8U6X4x8MWHi7RG32eowJcQn1VwCv6Vwnx38GT/ABM+Dnin4c2H+v1rS57NOwzKhQc/jXCfsaySP+yd8OGPJPh2yJJ/64rX0iqs5/ec49KAP8tv4r/8Gl//AAUnfx7qFz8N7HTJtKmlZ4XnugH+Yk8ivgD9r3/g38/4KA/sU/Da7+Knxm02xTSbKIzTPbTeYQF9cCv9ihG3ew7V+Ov/AAXt0ywuP+CVHxfuriNHli0dihIBK8jp6UAf4z4X5cGvpL9l79lr4o/tf/FW2+Dnwct1utYuULokh2jC9ecV84cyLzxjpX9N3/BpnZ2d9/wVZ0y3vYlkX+x7o4YAjhR60AFp/wAGmX/BVq8s4ruHTNH2yqGGbpehGR2r+rH/AINzv+CMHx7/AOCYvifxT4/+PUcEOo6/YLbMlvKJFBVs8Yr+sOFIol+zxDAHT0pR8x2SdV9KAFMm9VmA4r+Tj/g4t/4IxfH3/gpx4t8LeOPgPHBNf6BYPbKk8ojXLNnmv6yiVWPeBwO1NVQFzHwT60Af5SX/ABCVf8FYSc/2XowA/wCnpf8ACj/iEn/4KxFONL0X/wACl/wr/Vsl8tl8s/pT4sL8qdKAP8nTxH/wakf8FU/Cuh3PiHU9L0hoLNDI4S5DNgegAr+fX4zfCPxh8CviNqvwu8cxLBqmkS+TOg/hav8AeHltxdK0DqGRuHDDII+lf4y3/Bdy1t7L/gq18YLW1QRxprDBVUAAfKOgFAH5KW8TXNzHBH95yFGPU8V/QP8AAj/g2j/4KUftE/D+0+I/gDS9N/s++jWWIzzhGKsMjgj0r8DfDWE8Q2Cthg1xH/6EK/3JP2KdMtNP/ZO+HQtESKJ/D1kx2gLk+SvpQB/llfHj/g2j/wCClf7O/wAP7v4lePdK03+zbGN5JTBOHICDJ4A9K/n5ubd7S4e3l+8jFT+HFf7oP7a1lZ3/AOyX8RftMaSoPD14V3AHB8lq/wANTxHH5fiO+/6+JMf99GgDtvg38HvGXx0+JOlfCvwDEJtV1iUQ2yMcAtX9Bnh7/g1T/wCCp/iHQrXxHp+laSIJ0DqHuQpwfUYr4X/4IVQWtz/wVY+EFvdIJEOsKGUjIPyntX+zZBBBbQLHEgRFGFUDAA+lAH8Av/BKT/glZ8Uf+CIvxUb9ur9uYwabpun28tl/oUolGJR8vy8c8V+yF3/wdj/8EorGR7eTVNYLROUOLU9VOPXpTf8Ag7Iuby0/4JRao0Ephc6xa4KHaduTxxX+USxJc4yaAP8AbB/YN/4Kq/sq/wDBRmK7f9nO9uLk2UQmmW5TYwUnA4r9KOVXP8Nf5yf/AAZWXV6/7RnxRtmlYxLo0OEJOB8/YdBX+jXtbGMjZQB+a/7ev/BVX9lT/gnPDaSftGXtxbG+iM0K2yb2Kg46V+WI/wCDtH/gk8Yt51TWcA/8+pr8C/8Ag9RvLtP2i/hdbLIwiOjTZQE7T8/cdK/iBUb2+bpQB/q3n/g7X/4JP441PWcD/p1NYHib/g7Z/wCCXsPh68l8M6hqz6iIz5CvakKW7Z9q/wArIlgvlAZFJufHk8UAfan/AAUS/aL0r9rT9sbxx+0HonFr4lvjcx5XbwQB07V8SVI7MMI38NR0AFfT37GIY/tZfDgY6eIbL/0ctfMNfU37GTyP+1Z8OFyoUeIrL/0clAH+5Z4bZW8O6evTFvH/AOgCvyl/4LzEf8OnPjER0/sZv/QhX6teHljl8Oacx7W8fT/cFflH/wAF5Mf8OnvjEv8A1Bm/9CFAH+MeeF+fr2r+nr/g0o3f8PYdLU/9AW6/9BFfzCM3y4bqOlf08f8ABpV/yle0vHX+xrr/ANBFAH+rc6pEo5zzT5JAuAR96gJHs2+lICcb2/CgCRSF+Q1+bH7ev/BVH9lb/gnRFaP+0TfXFt9tiM0S26b2Kg44Ffo/Ft8wuBg1/nN/8HqF1e/8NFfC+ESskJ0ebKAkA/P3HSgD9+IP+Dsn/glHdXUVnHqmsbpWCA/ZSOScDv0r95P2XP2ovhZ+118Krb4xfB64a60e5YojuADkDngV/hVRqyj7QDjB49a/1cv+DTK6urv/AIJTaZ9rkaVv7XuhliScZHHNAH9OiFHHAp6pg5NQ4A/dp26VJFnbhuooAlooooAKKKKAEHU0tIOppaAP/9P+/iiiigAooooAKKKKACiiigD/ADg/+D17/k5P4V/9gab/ANGV/EHX9vn/AAevf8nJ/Cv/ALA03/oyv4g6AP6Hf+CXP/Bvj8b/APgpz8Kk+LPg3xLaeHtNeV4lkuo2ZS0fUZWv1B8T/wDBmB+0roGh3WsW/wAS9Ju3toy4hSF9zY7Cv6Ff+DSna/8AwSh0z5cY1i65/EV/TwEKfO3P9KAP8Jf9pz4BeJf2YPjr4g+B3it9+oeHrg28zAYG4D07V4EzHOW69q/YL/gvIqL/AMFXfjC6NuB1hsj/AICK/IBlZWBccdhQAzAHLc19QfsX3Dt+1d8OIG+6PEVlx/22WvmBFO054FfSv7F3/J2vw3/7GGy/9HLQB/ubeHoXbQrFnOV+zR49vkFdAu5Vwe1Zfhv/AJF2w/69o/8A0EVqyOyjhc0ARqscOXHAPWvin9vf9trwH+wN+z/d/H/4g2zXOn2sqw+WrBSWboAT9K+1tiSAKx/Cv5iP+DtMKf8Agk/qak7QNYtf50AfAt//AMHqP7N0N1Jap8LtYYRuV3CZMEA44qrL/wAHqn7OHyGL4XawvPP75K/zi6KAP9HZv+D1b9ms5B+Fesn/ALbJS/tGfs6+Bv8Ag6W8DWPxx+Bl7B4Pv/B8AsMX/wC8ZTJ8+PlFf5xIYgYr/Rw/4MrImP7NvxScHIGsxZX/AIBQB8KWv/BlV+0ct1FJdfFLRniVlLL5L8qDyPyr+0f/AIJV/sE2/wDwTn/ZTsf2dYbuK9NtcPcNLCMAs+M9a/RyNSvzs3HpTznAQNg0AWFHPzdq/in/AOCnn/BrH47/AG2v2ovEH7Q/w18Z6boEviG7a6nS4RmJyMDpX9qh79sd6jXLIShzQB/mmfFL/gzi/aa+Hngu+8X23xD0vVHtFL+RDC+5sAnj8q/j8+Ifg/UPh5431fwHqZ3XGkXclpIcY+aNip/lX+814nLDw5fIFzm2kz/3ya/wz/2ylX/hrD4jkf8AQw3vy/8AbZqAPKvhF46f4Y/FDw/8RY0LNol/DeAL1PlMG4/Kv75PhV/webfCHwx4JsdB8cfDvVtS1G2jVJLhJUCtgAdPwr/PbKbgPL5/2ae0ZDb0XGOq0Af2l/8ABT//AIOmfBP7bv7MPiD9nv4a+DdR8Px+IbRra4e4dWU5PHSv4qyAgx1zTyyySDB2r/Kk+VSQRuoAbyV46elM2N6VLtATfnB9Kbv4680Af27/APBlD/ycn8VP+wND/wCjK/0eSmWDelf5w/8AwZU4j/aP+KTR/Mf7Gh4/4HX+jpFuILN+VAH84v8AwXH/AOCHGrf8FXta0HxN4Z1200PU9DtGtoZrlWYAM2egr+dG1/4Mq/2ior2J5/ijozRqylx5T8gHkflX+jfRQB/FpD/wUb+Av/Btn8LrP9hvxdosvi7U7JxfOdPcIP3wBzhhWR4b/wCDz/8AZn8Qa5aaPcfDPVrVLiQIZXmTao9T7V/PP/wdq7f+Hr2qZG0/2Na/+g1/MTGCR6CgD/QW/ad/4N3tW/4K++Kv+G+vgR4u07w3Z/EFzqLRXCs7YbgDK4HavJPhV/wZi/GLwz44stb8dfETSdQ0+3kV3hSJwW2kH+lf1a/8EF2T/h0/8HUQ5xoy/wDoRr9gKAPMvhH4FHwx+Fnh/wCHETB10Swhsgy9CIkC8flXoXlsqARcc1booAqujMy7eMV+QX/BeeGMf8EofjE2OTozfzFfsPX4/f8ABecj/h1D8YUPAOjN/wChCgD/ABkHDPGG7LxX6Q/8Erv287j/AIJz/tUWP7RMNpLefZrZ7dooSASr4z19q/OBjtxFG28HtTRkHEi5oA/0Yrb/AIPUv2d47CCK5+F2sPKiqHYTJyQBmrL/APB6x+zgWBj+Fusr6/vkr/OMooA/0eU/4PWf2bj8o+Fms/8Af5KjT/g9W/ZwXPm/C3WD6fvkr/OPjGT79qMYBDDmgD/R303/AIPTP2cJrhLR/hdrCea4XcZkwoJxn8K/qb/YG/bZ8B/t6fs/2nx8+HVq1rYXczQ+UzBiCuM8iv8ADzG9BtIw3b6V/q0f8Gl6eZ/wSe0sodn/ABObr+YoA/p6kLAgxnjvX+Mn/wAF5yD/AMFYfjFgf8xlv/QRX+zW8ZYrtO3H61/jK/8ABeUgf8FYvjEMYH9st/6CKAPya8NY/wCEi0/cOPtEf/oQr/c2/Y3jSX9kb4cJIuR/wj1l/wCiVr/DN8NBX8S2GWwPtEf/AKEK/wBzT9jQSN+yZ8OI14A8PWXP/bFaAPU/iz4Ag+JPwr8QfDY4jTWrCaz3HoPNUr/Wv4Fvir/wZjfGTxN43vdY8EfEXSdO064kLxwPE5K5JPav9DmigD+KL/gmH/waxeOv2Iv2nfD37QnxF8Zabr0vh67FzbpAjqwwMcZr+1bYRjPWlk+UhuwqNd2C33vagD82P+CqX7BFp/wUY/Zdvf2d7i5iszczpcJNMMqrJ04FfxgXP/BlZ+0W11LJa/FLRkiZ2KL5L8DPA/AV/oyOQGA3Y9qXaS3TgUAfxGfs6/s7eCP+DWbwPffHD453kHjDUfF8H2ACw/dFzFh8DcKi/wCI1X9mkjYPhVrP/f5KX/g9WLyfs4fCvf8AKP7Zm/8AQK/zlP3e5UTjH8VAH+jb+0X+zp4H/wCDpfwRY/G74GXsHg/UPB8AsMX/AO8ZWk+fHyivgQ/8GU37SbD/AJKro3H/AExevvn/AIMq8R/s4/FN1O7/AInMP/oFf26/LjcpwKAP85Rf+DKn9pULtT4qaMB/1xek/wCIKX9pEgAfFPRgw/6ZPX+jZLOUAVV3H0p5kfGQOtAH+cgf+DKT9pM9fipo3/fp6Z/xBRftKf8ARVNG/wC/L1/o8RsCMdxUlAH+cH/xBRftKf8ARVNG/wC/L19Nfsk/8Gf3xN+B/wAb9D+J/wAS/Hula1aaNdw3aQRRuDuicMOv0r++KqyOpGH4NAGfpNt/Z1hBYj7sUaoB/ujFfkp/wXkXP/BKP4yKOT/YzYH/AAIV+uhO37x69DX5C/8ABeD5f+CUPxgwfn/sZv5igD/GW64XHIr9Jv8Aglj+3fdf8E5v2q7H9oi2tpLz7NbPbtFCQCQ+Mjn2r83lbyZBKfm9aYQpQseCTQB/oy6f/wAHqX7O1vZRW9z8LtZeVUUOwmTkgcmv3T/4JTf8FpvhB/wVWl1Sx+HeiT6Hd6VbrcSwXDqzKrHAyFr/AByN4C+WOvrX9uv/AAZUlo/2kfimhXB/saH/ANDoA/0cUQ7QshBYV/nHf8HqQz+0j8LY5Bljo02P++6/0cwMfN6V/nJf8Hqkyj9pD4WKwwf7Gmw3/A6AP4hS8YbcoxjjFf6tn/BpQWb/AIJP6Yq8f8Tm6/mK/wApKQh/lVMGv9W//g0k/wCUUOl/9hi6/wDQhQB/Tu4YngY21PH92n0UAFFFFABRRRQAg6mlpB1NLQB//9T+/iiiigAooooAKKKKACiiigD/ADg/+D17/k5P4V/9gab/ANGV/EHX9vn/AAevf8nJ/Cv/ALA03/oyv4g6AP8AV2/4NJy3/DqDTARhf7YuufxFf07DKjd1Wv5h/wDg0sBP/BJzS8f9Bm6/mK/p9Eg8rcRxQB/Lv+31/wAGxP7PX7enxy1P46az4tvfD19q1w1xOtrEpDE8ck1+ZvxZ/wCDMn4QeGfA9/r/AIF+ImralqVrGXit3iRQQoJ6j6V/dvBzll6dhWD4wube18L6hPcyLEotpMsxAA+Q9zQB/hAfFvwM3wx+KHiD4eM5kfRL+ayO7v5Tlf6V6Z+xf/ydt8OP+xisv/Ry0v7ZjJcftZ/EVoDlT4gvMEdP9a1J+xpsg/az+HLykAL4gsjnt/rloA/3QfDf/Iu2H/XtH/6CK+af22v2j4P2R/2YfFf7QtzEkyeG7Q3Jjk4U4wOcV9FeEbq3u/DOnz28iSIbaPDIQR90dxX5Uf8ABd+Oaf8A4JS/GGG2RpJG0dgFUZJ+YdAKAP5IPEv/AAelfHix167s9D+Gej3FpHIRDKZXBZexr64/ZW/4KuaZ/wAHFfn/ALBXx88PWXhZ9QVr1TaEyECEHBAav87OWKWKUxzgoy8EMMEfhX9P3/BpVbXQ/wCCqmmXXkuYv7HuhvCnGdo4z0oA/fu7/wCDKz9m25u5blPihrEYkcsFEKYXJzgfSoP+IKL9m7/oqms/9+Ur+3dJlkj3D6UnmsoCt940AfxFD/gyn/ZtUbD8U9Z5/wCmKV/Rx/wTJ/4JhfDD/gmP8ML/AOG3w11GTUY9SkWWeaRQpZlGMnFfqBuOM45qMtlSF60AN2K3zJyB2ocbMBRk0okEa5oL5I8qgBrgSHyweV7V/FV/wU6/4Om/Hv7EX7TfiL9nr4beC9N11/Dt21rcPO7KVwOOlf2sKwdmGMcV/jNf8F6bW9t/+CrPxellidI31htjMpAb5R09aAP2v+KX/B47+0z8SPBV54Rtvh9pmlNdoU+0QTPuXII4r+Pv4heMr/4heO9W8dakNtxq93JdyDrgyMWP8649ZMRmPHWoqAPTPhB4Fb4nfFPw/wDDxXMTa1fQ2QZeoMrhOPzr++n4Vf8ABmR8IfE/gWw17xx8RdX07UbmNXlgSJCFyARX8Ov7E9heXH7V/wAOZLWJpceIbLIUE4Hmr6V/uW+HZETw7p6/9O8fH/ARQB/nAf8ABTz/AINY/Av7EX7MXiH9ob4beMtR1+Lw9aNczpcIqqMHA6V/FRvav9nr/gu9bTXf/BKT4wwWqF3bRmAVRk/eHQCv8Y6e3mt5PInXay8EEYIoA/R3/glb+wbcf8FGf2qLH9nWG6lsxc273DSwgFgqYz19q/tHtP8Agyt/Z3ksoppvihrAlZF3r5KcHAyPwr8Gf+DSqyvH/wCCq2mXaQuYho90C+07fujjPSv9WsRgNuoA/FH/AIJS/wDBGD4Rf8Eq21KX4faxNrd3qdutvLczoqswByM7a/a2NSBlqURgUKmDmgCSiiigD+dz/gqN/wAG93wN/wCCnPxUb4u+NvEt14e1R40hL2sasSsfQZNfmB4Z/wCDML9mXQfEFrq8vxM1a7W1cOYXiTDAdj7V/awhJP8AsikZ0yM9T6UAfwW/tOf8HEWsf8Eg/F7fsDfAvwdp3iKy+HznTTLcMyHA5HC8V8xf8Rrv7SP/AESvRv8Av89fgX/wXssry3/4KtfF+a4iZEfWG2sVIB+UdDX460Af2/f8Rrv7SP8A0SvRv+/z0f8AEa7+0j/0SvRv+/z1/EDRQB/b9/xGu/tI/wDRK9G/7/PXwn+3/wD8HPP7QX7e3wO1T4F6z4QsvD1hq1u1vObWVjuB9Qa/ltp6uVBAoAcAwkxH1qT5SmXY7umKrgkHIpdx3ZoAbRRRQBYi6H09fSv6Ov8Agh3/AMEOtI/4Kv6VrviXxNr13omlaHdrbTTWyq2Ny5HBr+cGJGkcRjjNf6P/APwZY2V5Z/s3fFE3cbR51iHaWBAI2dvWgCaz/wCDLH9m22nimk+KOsP5bq2DCnIU5x9K/qT/AGCP2JvAf7AvwBs/gD8PrhrqwtJWmEjKFJLYycD6V9rpIjDjtTR87bhQAqlCa/l1/wCCgX/Br/8As8ft4/HTVPjnrfjC+8Pahq9wbidbWJWDEjHJNf1GOp24WovlaPy/SgD+M34U/wDBnL+zR8NfG9l4xvPH+paqti4YW08K7XwQecfSv6//AIeeELPwD4J0nwJpXNrpFpHaRnGPljUKOPoK7OMjIX0py/d+YY+lAE9FFFAEToDg9h2qFZAoLyfKBUkz4wo6npUMjtsEaD5v0oA/Nf8A4Koft4wf8E5f2V779oue0iv/ALPcJbpHOcKS/QcV/GBdf8Hqf7RaXk0Vt8LtHMSsQjec/Kg8H8q/fj/g7Ms7q7/4JS6nHaRtK41e1+VFJ4B9BX+USWZR5RGCDQB+03/BVf8A4LQ/GD/gqeNMtviFo0Gi2el3BuIbe3csqkjHANfiz5m0nAGKiJJ60DHegD9r/wDglN/wWk+L/wDwSuh1O1+HuiQa3a6rcLcSwXDsqkgYHAr9zk/4PUv2k2OxfhVo3TP+uev4ho38t9/XFJuy27OKAP7el/4PUP2kG/ex/CzRt/cec/Stfw3/AMHo/wAe9Q1+0g8Q/DTSLSxeQCWRZnO1fXFfw5tG6x+YPu9KRCFj570Af7n/AOxF+0ha/tb/ALMHhP8AaGtIUgj8TWguQkf3Rk44r6xr8fv+CC//ACid+Dg/6gy/+hGv19EqlttAEleV/Frxyvwx+GHiD4iOgkTRLCa8O7oREpbH6V6gJOPmr5k/bNikl/ZO+IyQjOfD15gDr/qWoA/hi+K//B5p8YfDPja+0HwL8OdI1LTbaQpFcPK4LbSR0H0r1/8AZc/4OHtX/wCCvvixf2BPjt4Q07w5Z/EFxpqzWzM7YbkkBsDtX8BPim3mtPFF/b3SNGy3MmVYYP3j2NfrN/wQYs7mf/gq38Ibi1jd0TWFyVUkD5T1I6UAf2FeJ/8AgzG/Zn1/XLzWLL4latbieQsIUhTauew9qwv+IKr9m/G+T4pawD0x5KV/btlBiMj5jSlVMoYdqAP4h5P+DKf9nFUXy/ilrOc/88UroPif8OvhN/warfCS2+J3wunHjLV/GIbTs6iojLGMBhytf2vlFNfxDf8AB61hf2bvhWfTWZv/AECgD8+2/wCD1L9pU4k/4VXowUdvOev5yP8Agpr/AMFPPif/AMFN/ifp/wASPiVp0enSabG0UEETFlVWOcDPYV+YTSM5J9e1OXaxHmcKB2oAQsyna3Ff6uP/AAaSf8oodL/7DF1/6EK/ykFheSURJyT0r/V2/wCDTO1u7H/glNpsd1G0WNXujhhtPUdjQB/T1RUKzKyb6kUkjJoAdRRRQAUUUUAIOppaQdTS0Af/1f7+KKKKACiiigAooooAKKKKAP8AOD/4PXv+Tk/hX/2Bpv8A0ZX8Qdf2+f8AB69/ycn8K/8AsDTf+jK/iDoA/wBXT/g0njQf8EodMk7/ANsXXH4iv6etwIy3T0r+WT/g0o8U+H/+HXuneG4rlH1BNXunaAH5gpPXHpX9TXmbm8sjpQB/nv8A/BXX/g5U/bS/ZW/bK8WfAH9n24s7W08NXzW0v2qAPkAcYPHtX4/fEn/g6Q/4KifEvwndeC/EWraUtnerhzDbhXAxjgg8V8sf8F9fDniLR/8Agqf8WdV1a2eG2utYYwuwwGG0fdr8YCQG55BoA6jxV4k1Pxl4kv8AxbrzCS61CdriYr3Zzk0nhTxNqng3xJYeLNBYJdadOtxCW7MhyP5Vyq5X5xTnO5QTQB/SN8Nv+DpH/gqH8M/Cdr4M8PatpZsrFQqedbhmxgDqT7V+mP8AwTw/4L8ftUf8FH/2g9G/Yl/a6ksr/wAN+P7kWEqWkARthGSC3OOlfxEgqWyOAK/Zz/ggZ4Y13Wf+Cp3wm1fTLV5rW01hTM6jhBt70Af33+I/+DUf/glb4n1u517U9K1YS3Ll2EdyVXJ9ABxXzr+2L+x/+y//AMG8/wCyvqH7XX7Ien3EHiK3uVsopLxvOwJsg8EV/XUjHGOgFfzO/wDB1zoGt+J/+CVuqafoNq9zOurWzlEGTtUnJ/CgD+PW9/4O1P8Agqu13ILbU9GEO8lB9lXgZ4/Sv6nv+DdH/gs78fv+CmXivxP4F+PEtvLqWgWK3LvBEI1JZtvGK/y6JITGWhlXa8ZIOfUdq/uL/wCDLfwrrln8c/iV4i1G0kjsbnSIlhlIwrkP0BoA/wBFZTIH6jbX8m3/AAcY/wDBZ34+/wDBM3xZ4X8EfAWW3h1LX7FrlXniEigq23mv6yvlWHBH0Ff5tf8Awed+JPD2v/tJ/DWHQbqOdrXSZkmVDkqd/Q0AfFll/wAHan/BVVbuIXGp6N5O9d4FquduecfhX993/BFD9ujxn/wUN/YqsPj9492HU5ruW1couwZjwPu1/jJYQJg9fWv9VD/g0p8U6A3/AAS907wzFdRtqCatdO0IPzBcjnHpQB/UlHn/AFcv3x+VfiB+11/wb6/sBftsfE28+K/xp02+fVr2UzSvazeWCT6gCv3BKJkGTrU6ABzQB/MR/wAQk/8AwSe/6Bes/wDgUf8ACj/iEn/4JPf9AvWf/Ao/4V/T5RQB/PP8AP8Ag2m/4Jsfs4/ES1+JXgDS9ROo2TrJF9on3qGQ5U7SK/oCtreGyRY4x91Qo9AAMCrmyMy78fNinOnRaAPKvjX8HvBXx6+GeqfCj4gRNPpOsxeTcIpxla/ny13/AINR/wDglX4j1u51y80rVxNcuXcLckLk+gxwK/pl8tETHYVE7mNNwGfYUAfyO/tg/sh/suf8G8f7K2oftbfsiafcQ6/BdLZxyXjefjz8g8EdK/l5vP8Ag7X/AOCrBu5fsmp6OId52A2q5254/Sv7B/8Ag648Nax4k/4JU6pY+H7V7qcatauUjGSFBOT+Ff5PMsUsUjQyjaynaR6EcYoA/p0/4i1/+Cr/AP0E9G/8BVo/4i1/+Cr/AP0E9G/8BVr+YSgDPFAH9Pf/ABFr/wDBV/8A6Cejf+Aq0f8AEWv/AMFX/wDoJ6N/4CrX8wlFAH9P/wDxFpf8FXXG06nowX/r1Wug8K/8Ha3/AAU+g1u0PiHUNJewWQecqWq7tvfFfyzq+VEZ9a0LHT7zVdTj0rSIzLLOQiIvUn0FAH+p58JP+CQn7Cn/AAWN+AfhP9tn9oXTL5/EXjG2+33T2snkqzNkfdArqf8AiEn/AOCT3/QL1n/wKP8AhX6G/wDBDHRdV8O/8EtPhHouswtBcQaOqvGwwVOTX63kgdaAP5g/+ISf/gk9/wBAvWf/AAKP+FH/ABCT/wDBJ7/oF6z/AOBR/wAK/p8oyD0oA/mD/wCISf8A4JPf9AvWf/Ao/wCFH/EJP/wSe/6Bes/+BR/wr+nyigD+YP8A4hJ/+CT3/QL1n/wKP+FH/EJP/wAEnv8AoF6z/wCBR/wr+nwkDrRQB/MH/wAQk/8AwSe/6Bes/wDgUf8ACj/iEn/4JPf9AvWf/Ao/4V/T1uGM0BlK5HSgD+X+X/g0o/4JPhfl0vWQf+vo/wCFfs9+xb+wN8Av2DPAM/w7+AtpLa6ddFWl81tzMVGBzgV9vyhXTawyDTUQBQq8AUARxlcbRwBX8RH/AAX5/wCC/f7V/wDwT+/aun/Z9/Z2ntLZre0huWN1CHGHHPNf29JFzubrX+VV/wAHbPhrXIv+Couo+JJLVxYyaTaxrNj5SwXpQA3w1/wdsf8ABUZddtW8R6jpD2IceeqWqglfav8AR2/4Jz/tH6z+1n+xp4G+P2vj/TfEliLmTC7RknHSv8QKw0y91K+i06wjM08x2oi9SfQV/s5/8EM9H1TQP+CV/wAItI1eFra5h0dVeNxgqcnrQB+q+rXk1nplxdRYDQxM/wD3yua/zU/20f8Ag6q/b/8Ah7+0L4j8AfBm70+30rRL6ey23NsC2YnKjnjjiv8ASc8TxzPoF6i/fNvJg/8AADX+HX+3R4a1/wAN/tb/ABBg8QWsls82vXkiBxjcplbBHtQB+4f/ABFr/wDBV/8A6Cejf+Aq0f8AEWv/AMFX/wDoJ6N/4CrX8wlFAH95H/BIb/g5X/bY/ap/bL8I/s9ftAXNjc2fia+W2T7LAEwCOckV/oRJ877U4Uda/wAbD/ggV4Z1/V/+Cp/wm1bTLV5rez1dTNIo4QbT1r/ZQTlDjigD5z/am/ZZ+Fv7YHwquPg98XbdrrRblw7ohwcjgYNfhHdf8GmH/BKK8upLqTS9Y3SsXOLo45OfSv6akQCP9361boA/mD/4hJ/+CT3/AEC9Z/8AAo/4Uf8AEJP/AMEnv+gXrP8A4FH/AAr+nvIziloA/mD/AOISf/gk9/0C9Z/8Cj/hVW9/4NJ/+CU5tJfsmmawJdh2Zujjdjjt61/UKCD0paAP8YL/AILV/sMeD/8Agnp+2lqH7P3gQMNPhtI7mMO24gSZxz9K/JIROiiVStf1H/8AB2x4a1+D/gqLqPiNrV10+TSbWNZ8fKW29M1/LtZadd6jfR6dpsZlnkOEVepPoKAP9mD/AIIPyO3/AASh+Dpx8x0Zf/QjX606neTWml3F5HgNDEz/APfIzX5Uf8EMtL1XRP8Agld8IdJ1aBre6i0dVdHGCpyetfpd8RNe0vw34R1DUNbuUtIlt3zK/Cj5TQB/m9/tof8AB1V+398Pv2h/EngL4N3en2+k6Jfz2W24tgWzE5Uc8elcz+y7/wAHP/7d/wAdPi9pXwU+PN1p914d8W3EelTJb24Vttw2xueexr+Yz9sKWK6/ar+IdxbMJUk1+8ZWXoQZW5FWP2MRn9rT4cxNyP8AhIbL/wBHLQB/p9+Lv+DXP/gl58WdZPjvX9J1RbvUEWWXybgquSM8ADA619Hfsif8G/H/AAT7/Yl+JNp8V/g3pd+urWUomie5m8wBl6YyOK/avwwjr4csdvA+zR4H/ABW1hyvBGe9ACw7tvz49vpSL8h2p1NSbemetRgMBtyM0AW6/iE/4PXf+Ta/hZ/2GZv/AECv7egQRkV/EL/weuj/AIxr+Fh/6jM3/oFAH+cNGqt1r+sb/g3R/wCCMPwB/wCCmfhbxR45+PMU8unaBfLbMlvKY2wy54xX8nMeQ47V/o5/8GVRL/s5/FRX5/4nMP8A6BQB+glp/wAGmv8AwSitLiO+i0vWd0TBh/pR6g59Olfu9+y1+y38K/2QPhbbfB34L2z2mj2rl1SQ5OT17D0r6TAdjmPgDjFSLHIPvUAJIgIBboPSpImZuT07VGY24KcAdqkQMGPpQBLRRRQAUUUUAIOppaQdTS0Af//W/v4ooooAKKKKACiiigAooooA/wA4P/g9e/5OT+Ff/YGm/wDRlfxB1/b5/wAHr3/Jyfwr/wCwNN/6Mr+IOgD7g/Zy/wCCiv7ZX7JWl/2B+z744vvDlocny7YgD5uvavr3wz/wX1/4KoaR4gtdS1X4t6xd20DhpIS64ZR26V+O9ppep3vzafbSzDH8Clv5Ct7QvAPi/wARaxb6HpenXD3Fy4jjXy2GSfwoA/1qP2IP2IP2Mv8AgpX+xp4A/ai/aj+H1j4m8T+JLEXd1d3YLOzkkEkg19N/8OGf+CT3/RG9G/75b/GtP/gifpc/w5/4Ji/Cfwf4weKyv7LSVSWKRlUg5PGDiv1T/wCEm8P/APP9bf8Afxf8aAPyZ/4cM/8ABJ7/AKI3o3/fLf40f8OGf+CT3/RG9G/75b/Gv1m/4Sbw/wD8/wBbf9/F/wAaP+Em8P8A/P8AW3/fxf8AGgD8mf8Ahwz/AMEnv+iN6N/3y3+NfM37b/7EH7GP/BNP9jH4gftRfsu/D6x8NeJvDVgbu1urQFXV1IAIJNfv/wD8JN4f/wCf62/7+L/jX5V/8FsNJuPiP/wTF+LHg/wfJFe6heaSyQxRsrFjkcYGaAP8xPxJ/wAF9v8AgqhrGvXWp6X8WdXs7aZy0cAZcIv90cV+7v8AwQG/4KJ/H/8A4KQftTR/shftt6xc+PvD1/ZT3bx37ArlF+UYGOma/i413wD4x8O6xcaHq2m3EdxauY5F8tuCPwr+o7/g0x+Ffjez/wCCkdj8TL6xe30aDS7qB55QVAcrwPmAHagD+7O5/wCCEH/BKe8maST4P6NudizNtbknr3r8Sf8AgvX4r8If8EWf2cfCl5+wToyeBbvxNdyWMk+nHaQqqGHU9q/sWTxPoAby5L22A/66L/jX8Lv/AAeZfFfwD4r+EXw+8BaJfxz6hpeqyvNHGQdoKYHQ0AfyoH/gvH/wVg6/8Lj1nPb5l/wr8/8A48/tNfHH9p/xEvi345eILjxBqUWQstxgtz1rwFdwHFGehXqKAG5+XFfbv7OP/BRf9sr9krRzoX7P3je+8N2h3fu7YgDLde1fExEfl5z81XrTS9Uv0xY20sw9UUt/IUAfsX4a/wCC+n/BVDSdcs9T1b4saxd20EgZ4Sy4YenSv9Un/glR8dvFf7Sv7BXw7+NfjaR5tT17TlnnkkOWLZxzX+KfongLxn4k1O20LTdNuHnuXCRjYwyT+Ff7Mn/BEfwjr3gT/gmD8JvCniaA217Z6QqSRnqpyeKAP1cooooA8M/aR8Wal4A+APjLxtpDlLvSdIubqJl6ho42YY/Kv8kf4v8A/BwF/wAFPPEPxA1G+8K/E/VtIsvOZY7dGXACsR6V/rM/td6fc6x+y78QNN09fMnuNBu4o1HdmiYAV/h9/Fb4UfELwJ481Lw/4l0ueG5juHJUIx4LHHagD+p3/giV/wAFtv29/i1+3p4G+CPxt8c6l4m0vxPqKW7LO42quOeBj0r/AE7BKQcIM4r/AB3v+CA3wj+IGvf8FNvhj4vsdPlWw0bVle5ldSoUbfcYr/YHbxD4cRgDqFurDqPMX/GgDifiz8HPhl8efCE3gH4r6ZDrOlTnc9vMPlOK/N25/wCCEP8AwSkup5LiX4O6OXkJYttbqevev1Y/4SPw2RvgvrYnp/rE/wAam/4Sbw8ox9vtsY/56L/jQB/nB/8AB01/wTA/Zi/Ye8A+DPiP+z34ftNATX9Re3eC2UjAVM1/FXnjpzX+hZ/web/FjwF4r+DXw58EeHr+O51HTdWleeNCDtUpx0Nf56eHxv8A4aAP7U/+DWb/AIJg/sxftweAfGfxH/aF8P2mvroGox26QXKk5Vkz2r+xlf8Aggz/AMEoFwW+Dmjf98n/ABr+b7/gzI+K/gPwp8GviN4J8QX8dtqOo6tE8EbkDcAmD1Ir+6P/AISTw9IAv2+2x/10X/GgD8mz/wAEG/8AglDv2j4N6MF/3W/xrR0j/ghl/wAEsNC1SHWdI+EOj289qweORVOQR+Nfqo3iLw2i4bUbfj/pov8AjWHr3xA8GeHtCuNd1DUbdbe2Qux3r0H40Af5jH/BXj/gr7+2X+zD+2d4t/Zf/Zc8YX3gzwz4NvmtLW1s2GwJjIAHOAM1+V8n/BeX/gq+p2H4x6yf+BL/AIVy3/BbPxXoHjj/AIKc/FbxX4XmE9peaszxuvTG0V+VqbT8jdPWgD9fE/4Lz/8ABWFSF/4XFrJ/4Ev+FfYH7Dn/AAXo/wCCj8/7THhHwz8R/iLqmuafrGqW1nJbysMbZJApPbsa/nYh0TWrhc29nO69mVGP9K+1f2APg58RvHP7XXgSLw7pc0xsdatLiberKFRZVJOcdgKAP9ujRZpL3RLO9Y/NJCrn3yoNfBn/AAVS+O/iv9mn9gn4i/G3wVI9vqmg6a1xA8ZwwYEDivtvQde0C20OyhlvrdGSCMEF1HRR71+Yv/BazRp/iP8A8Exviz4R8GyxX2oXukskMMbKxLZHAAzQB/mK+J/+C+v/AAVR1bXrrU9M+LWsWdvO5aOAMuFX+70r+i//AINqf+CvX7Zf7Uv7bFr+z/8AtCeLr7xNZ3NjPdb7lgQNg4GBX8NmveAvGHhnV59C1TTrhbm1by5F8tjhh26V/Ub/AMGmfwq8bWf/AAUksfifeWTwaLBpd1A88wKgMV4HIA7UAf6lJw4+QcV/Lj/wc+ft+/HT9g/9nnwbrPwJ1S40a/1++ltXnt2ClQq5Br+nH/hJfD+8w/brZcD/AJ6L/jX8bP8AweH/AA98T/FX9mP4eT+AIhqaaRqc090YTu2Jsxn5c0AfxqP/AMF5/wDgq+Gwnxj1nH+8v+FN/wCH83/BWD/osms/99D/AAr8nm8M+IQc/YLjB6fu2/wpv/CM+IP+fC5/79t/hQB+ttn/AMF6/wDgq5BdxTTfGHWHRHBZdw5API6V/eH/AMEgvhL+z/8A8Fjf2GNN/aF/bc8I23jLxE17Javd3/zMRDgLyDX+WrbeFPEt3cJaw2FyXkYIo8tup4Hav9Yj/g1p+HPi34af8EuNJ8PeM7ZrK6OqXE3ltwdrEEHkCgD7a0j/AIIZ/wDBK7QdSh13TfhHo8NxbMHjkCnKkdxzX6feAfAvhX4c+FbTwd4KtUstKsk8u3gj+6i+grpkdpTtVAY6oXOraRp+YZruGJuysyrj8zQBo3CRyRGFxuDDaV9q/M34o/8ABHT/AIJwfGbxNL4y+Jfww0vVNUnJZ55QdxJ5Pev0aTxJ4fGN99bA/wDXRf8AGg+JPDoGX1C3H/bRf8aAPydH/BBn/gk8o/5I7ox/4C3+NEn/AAQb/wCCUC/N/wAKc0Y/8BP+NfrRBruhTHFveQOT0VXU/oDWtGu75n/KgD88PgV/wSv/AGCP2aPE0Xjb4KfDnTtB1ONxIk1upDBh071+hUQdwUcYHYUtxLBFGDKwRfU8AViSeIPDrtsGoQBl4Pzr/jQB0B4P7s/hTgflMeeaz7TUtMuiEtLmKY4/gZW/lVl3KHCjP+FAH8u3/Bz1+378d/2D/wBnvwfrHwJ1S40nUfEF9Latc27BWAVMg/hX8D7f8F4v+CsYxH/wuLWc+m5f8K/r6/4PUCkn7Nvwq2nC/wBszZP/AACv842RVExELbvQ0Afr5J/wXm/4KvMAR8YdZXbx95f8Ktwf8F6/+CrMN7DcN8XtYkjjZSy7l5API6V+Qlvpd/djfYwyT4+9sBP8q0bPwp4lu7qO0jsLndKwVR5bdTwO1AH+pX/wSF+E3wA/4LIfsM6b+0L+214RtvGPiBr2S1e5v/mYiHAHQ1+mWj/8EL/+CV2h6jFq2k/CLR4rm3bfG6qcqR3618Vf8GtXw68XfDX/AIJc6ToPjK1ayum1S4lEZ4O1iCp5A7V/SBsGRsoA/wAuL/gr1/wV6/bK/Zc/bI8Xfsu/sv8Ai++8FeGvBN81na2lowCbMZAA5wBmvyK8Xf8ABbP/AIKc+PNCl8P+K/itq17YzDbJE7DB/Svcv+DgH4RfEPw9/wAFPvih4r1DS5fsOrasz20iqzBgFHoPavxU/wCEZ8QIQTYXGG7eW/8AhQBBrms6hrurXGt6lMZ7u7dpZZD1LNya9/8A2MQ3/DWnw4/7GGy/9HLXg58M+I1jwdOuME9fLb/Cvsr9gf4R+O/Gv7W/gK38PabPJ9i1u0uJWZWAVVlUk5x2xQB/t06AVPh7Txuxi3j/APQRXwX/AMFU/jn4p/Zs/YL+Inxt8ETvb6noOnNcQPGcMGBHSvt/Qtc0SLRbO3uby3Urbxjl1HRR71+Yf/BanSpviL/wTL+K3gvwc8V9qN5pLRwQxsCWORxxQB/mM+If+C+n/BVHWNfu9T0r4s6xa20shaOAMuFX06V/Rb/wbX/8Fef2y/2qf23bX4CftA+Kr7xJZ3FjPc7rlgQCg4GBiv4bte+H/jPw5rN1oerabcQ3Fo/lyKI2IDD8K/qP/wCDS74S+Pof+Ckdj8Sbmwlj0iHS7qBpXBXDFeByKAP9SFy+fk5B/Sv4j/8Ag9RXb+zZ8Ko5m66zNz/wCv7dFxgyZ4r+Mb/g8c+GvjX4h/sy/Dy88IWLXsWl6pNNPtBO1dmM4AoA/wA1UwwCcp5g2+tf6Nn/AAZVoD+zf8VFiPTWYefX5K/zpz4d17dvGn3H08t/8K/0l/8Agzk+Gfjn4d/s0/EK98X2DWUWp6nDNb7gRuXZjOCBQB/ZrC7/AMY2gVbquxAUP1FWKACiiigAooooAKKKKAEHU0tIOppaAP/X/v4ooooAKKKKACiiigAooooA/wA4P/g9e/5OT+Ff/YGm/wDRlfxB1/b5/wAHr3/Jyfwr/wCwNN/6Mr+IOgD/AEwv+DVr9iv9n74g/wDBP6y+M3jvw3p+t6pcajcWzfbYElG1Tx94Gv6mrT9jr9leyu1u7X4d+Ho2TlWWzhBB9vlr8GP+DSYJ/wAOodMI6/2xdfzFf08/M/B6jpQB/kh/8F0P2z/2g/DX/BQ74g/B/wCH3iXUPDeieGtTaCyttNmeFAuOmxSABzX41/8ADZf7We7YPiP4h/8AA2b/AOKr9rf+C9P7Cf7T91/wUd+IfxG8O+E9S1nTvEGqNLbSWVs8gC47lQR2r8R9W/ZF/ad0a2N9qnw/162gjHzySWkqgfiVxQBZH7Zf7WWOPiP4hz/1+zf/ABVKf2zP2sgB/wAXH8Q5/wCv2b/4qvnW4s7ixuZLO6jaKaIlXVxggjjBFEFnc3txHZ28bSzSEKioMkk8AACgD6L/AOGy/wBrINsPxH8Q+3+mzf8AxVfsr/wQu/bQ/aD8S/8ABQz4ffBz4geJdQ8R6H4l1NYLy21KZ5kK46bXJGOK/GDSv2RP2ndZtlvtM+H+vXMEg/dyR2krKfxC4r9oP+CF/wCxb+0R4X/4KH/D/wCLfxA8NX/hzQ/DOprNeXOowPCirjrvcAAc0Af6lN3+x5+ync3DXN58O/D8kj8ljZwkk+/y1+F3/BxDL4Z/Ym/4Jvar8TP2c9BsPC+rnUYbcT6dEsDhZMhsMgBr90bv9sX9lazna0uPiJ4eikj4ZWvIQQfpur8Lf+DiOPw1+2x/wTe1T4bfs4a7p/ifVxqMNwLfTpVncrHkthUJNAH+Yzd/tr/taXd3LdH4ieIFMrl8C8mwMnOB83SvIfHfxc+KHxPlWb4h6/f60ynIN5M8uD7bia9du/2KP2tbS7ltW+HXiFjE5TIspucHHHy1V/4Yx/az/wCib+If/AOb/wCJoA+ZaXJ/Kvpn/hjH9rP/AKJv4h/8A5v/AImj/hjH9rP/AKJv4h/8A5v/AImgD5n3fLtr/TF/4NWf2LP2eviB/wAE/LP4z+PvDen61qtzqNzbH7bAkg2qePvA1/nu2f7FP7Wl5eRWi/DrxAplcICbKbAycf3elf6n/wDwbV/s/fEH9nP/AIJtaT4C+J1s1nqH9ozXHlOpRgr4IypoA/Xa1/Y6/ZWtZ47i1+Hfh+OWI7gy2cII+ny19EaPo2k+H9Pj0jQ7eO0tYRtjiiUKqj0AHAq2ZTu24wKsKMD2oAfRRRQBQu7O3vLeS0u41lhkUqyMMgg9QR6V8+aj+yV+y3rl2+o6r8P9BuJ25Z5LSJmP4la99ub2Gygku7mRYoYlLMznAAHUn0FfPWq/tdfsv6Ndvaan8QNAtp04eKS7iDD8C1AH52f8FWvAPws/Zc/4J3/FD4xfBXwnpOg63pOmGe1ubKBIXVgQMhlUEV/k2eJv26v2tPEuuXOvS/EDXoGuXLmOO8lCrnsBu6V/p6/8F5v26/2Zrr/gm/8AET4b+GvFul6xqGv6U0VvHZ3EchznoQpPpX+Sypw24jpQB9MD9s39rR+P+FjeIR/2+zf/ABVPb9sr9rEL5n/Cx/EO3p/x+zf/ABVeFeG/CfirxxrC6J4UsJtQvGGVht0LMR9Fr3KD9jf9q58Sn4c+IWUjK4spse38NAHlfjn4s/FL4lmOb4ieIL/Wtpyv2yZ5SD/wImvPdp3bv4a9J8d/Cb4m/DJkX4i+HtQ0WRzgC8heLJ9AGArzbzZM+ZxQB6F4G+LXxS+GrST/AA71+/0Tcct9jmeLJ/4ARXq6/tlftZbfMHxH8Qhen/H7N/8AFV5f4D+E3xN+JrMvw68PahrUinBFnC0uD6YUGvTJv2Nv2rY8yj4c+IVVRls2U2B/47QAp/bL/a2T5T8RvEOP+v2b/wCKqKX9sT9qq8hktbj4h6/JCwwyteS4I+m6vEvEfhHxH4O1JtG8VWE+mXsYy0NypRgP91sVy4bLfN09qANLVtY1bxDqcmq61cyXd1OcvLKSzMfcmrfh+zW612ztn/5aTouO2CwFY3loenfpWvoEoh1mzkzhUnQt+DCgD/Zl/wCCf/8AwT7/AGUPB37J3gua58FaPqdxqekWt1LLdWsTtvaIE8kH1r3H9oT9nf8AZ/8AhP8As/8Ajjx54E8E6Lpmqadol1PBNb20aMrpGzKQyqCMEV4b/wAE/v8AgoF+yZ4q/ZO8FQXHjXSNMn0zSLW0mhurqNW3JGFPBI4yK9w/aM/aG/Z5+K/7PnjfwL4F8caJqOpalol1bwQW91G7FnjZVAVWzyaAP8fb4uft+ftb+OfiLqeuy+PNasS8zIsNvdyqgCsQMAMAK/Un/ghd+2j+0N4l/wCCiPw/+D3xC8SX/iPQ/EuprBeW2ozvMhXHTa5II4r8s/i/+wJ+1p4G+IWpeHpPAet3jJOzedBaSshDMcYIUiv1K/4IW/sXftE+F/8Agod8P/i78QfDV/4c0LwzqaTXlzqUDwoq4xnc4AA5oA/1K7r9j39lO6uGub34deH5ZJDksbKEkn3O2vwv/wCDiGbwz+xP/wAE3tV+Jf7OmhWHhfVzqMFuJ9NiW3cLJkNhkANfuhd/ti/srWc7Wlx8RPD0UkfDK15CCD9N1fhb/wAHEcfhr9tj/gm9qnw2/Zw13T/E+rjUYbgW+nSrO5WPJbCoSaAP8xy7/bU/azu7uW+b4i+IV8xi2BeTYGTnA+bpX9n/APwaY/HXxp+1n4/8d/CT9ol/+Ev0vRdLjltxqx+0/MzYPEme1fxf3X7FP7W1vcy2rfDrxAfKYrkWUuDtOOPlr+3b/g0H/ZD+OHwP+Ivjv4k/FLRbrRrPWdLjigjuoXicMr5OQ2KAP7Oo/wBjP9kl3YD4ceHuP+nKHH/oNTf8MX/slf8ARN/Dv/gFD/8AE19KxFcfKKmoA+ZV/Yz/AGTYnDp8OfDoK8giyh4x/wABr3bwz4S8M+C9NXRfCdhBp1mn3YbdAij6KoArpKKAG7Qo4r/JI/4L1/t1ftO2/wDwUg+Ivw38OeLdU0fTfD+qNFbx2VzJGMY7hSBX+tzX+ML/AMF5/wDlLD8Yv+wy3/oIoA+HB+2f+1mDn/hZHiH/AMDZv/iqb/w2b+1l/wBFH8Q/+Bk3/wAVXzNRQB+t37AH/BQL9q/wj+1b4Kin8a6xqUOp6va2ksV1dSMm1pAp4JI6Gv8AZq0CaSbQLK4fkvAjN+Kiv8K79lnxDY+Ev2j/AAL4i1R1S1sNbtZ5WPGFWRSefoK/2fvg5+37+yR47+HmmeIYfHmh2QkgRTDcXcSsNqjqCwoA8x/4LFfFHxP8Hf8Agm98UPiV4LlMGpaVpTSwSKSpVsjoRX+QF4i/bl/a28S69da83xB16B7py7JHeShVJ7Abulf6yf8AwVa8e/Cv9qj/AIJ6fE34PfBTxZpOu65q+mGC2trKdJnLEjACK2TX+Td4m/YW/a28Ma/daDL8PdfnktZDGXjs5SrY7j5elAH9OH/Bqx+2f+0J4/8A+Cgdn8GvHfiXUNb0q4065uG+2zvKQyjjG4mv9MLKhyvoK/zHv+DYD9lX4vfA39uq1/aD+NWl3HhLw9aafcW0kuqxtbgMw4+aTaO1f6JMn7Z37J8DFH+Ivh7IOMfbIeD/AN9UAfyRf8HqjKf2a/hZsGB/bM3H/AK/zj1dFjOPvGv9Kz/g6k+H837bH7NPgaX9mm8g8Xy6DqEt1cR6SwuSEK4HEZNf59v/AAxb+1mf33/CufEH0+xTf/E0Af2cf8GhH7I/wR+OXwt8efET4paLaaxc6PqkcUMd3Csq4KZxhhX9vcf7Gv7JqyIIvhz4eG3BB+xQ54/4DX8r3/Bq58PZ/wBib9mvxxN+0re2/hCXXb+K6to9VYWzbQuDxIRX9USftofsmH/mo3h0f9vkP/xVAHv3hnwn4Z8F6WuieE7CDTrNPuw26Kij6KoArogAOlfM3/DZ/wCyb/0Ufw7/AOBsP/xVH/DZ/wCyb/0Ufw7/AOBsP/xVAHW+L/2b/gD8QNRbV/HHg7R9WunOTLdW0cjE/VlNch/wxf8AsmYwfhv4e/8AAKH/AOJp3/DZ/wCyb/0Ufw7/AOBsP/xVH/DZ/wCyb/0Ufw7/AOBsP/xVADB+xh+yWq4Pw58PEf8AXlD/APE147+0P+zp+z58Lv2e/HHjjwJ4H0TTdT07RbqeCe3tY42DpGzKQwUEYNeyf8Nn/smAf8lH8O/+BsP/AMVXxJ/wUA/4KCfsm+E/2T/GsFt410jUptT0i6tIYbS6idtzxEDhSeOaAP8AJu+L/wC3r+1z42+IGpay/j3W7JjMy+Tb3cqooViBgBgK/T//AIIX/tp/tEeJ/wDgob8P/g18QPEl/wCI9D8S6msF3b6jO8yFcdNrkjHFfz36/IJtZvJQcq87lfxY4r9Yv+CDgUf8FXvg6B97+2V/9BNAH+uzP+x5+ylfyPNdfDzQJJWOWdrOEkn3O2u98E/Av4LfDG5F58PfC2maLL03WUCRHn/cAr1gKCmxuvtXMeJPF3hvwfpjaz4qv7fTLKM4Mty6oo/FsCgDrx04riPGPw48BfEKyXTfHWkWmr2y9IruNZFH4MCK8db9sv8AZOjYxv8AEbw8CvBH2yHjH/AqT/hs/wDZN/6KP4d/8DYf/iqAE/4Yv/ZK/wCib+Hf/AKH/wCJr2Pwf8OPAfw+sjpvgXSLTSLY4zFaRrGpx04UAV47/wANn/sm/wDRR/Dv/gbD/wDFUf8ADZ/7Jv8A0Ufw7/4Gw/8AxVAH0wqhRUYmBOMV82L+2X+ydI4ji+I3h4seABeQ/wDxVe0+GvF3hzxdpq614Vv7fUrKThZbZw6/gV4oA6oyhMBu9PV8sV9KiYYGF/WnRHqD1oAmooooAKKKKAEHU0tIOppaAP/Q/v4ooooAKKKKACiiigAooooA/wA4P/g9e/5OT+Ff/YGm/wDRlfxB1/b5/wAHr3/Jyfwr/wCwNN/6Mr+IOgD/AFcv+DSjan/BKDTJAOTrN0P1Ff0+hWaPnrX8wv8AwaUEt/wSg0yPHH9sXXP4iv6eNjxp5YOaAMxtE0e5kaW7tYZH7s6Kf5ivN/iz8Kfh948+H+qeGvEml281pNbuWUIo6Kcc4r5Q+N3/AAVS/YN/Zo8VzeB/jh8QtO0DU4XMbQ3DENuHbgV49pH/AAWw/wCCY/xInm8HeEfivpN1qF5G0cMSMcsSuBjj3oA/yEf2utOtNF/ag8f6VZJttbfXruONR2VZWAH4Un7I1haa1+1D4A0i9TdbXGvWkbqe6tKoIr9m/wBsz/ghh/wUT8T/ALQnibx98Ivh7qfibQfEeoT6lbXcCjayTOXXHTgg1sfsJf8ABBn/AIKNx/tM+Etf+JXw41Tw9p2japbX0lzKoxtjcMR+QoA/1TfhP8KPh/4D+H+l+G/DelQQ2kNuhRSinGVHfFfnr/wWw1S4+HX/AATF+LHjDwekVlf2Wks8UsaBSDkemK/U/RI54NMtbGQbfIhRSfcKBX5Of8F5jn/gk98YvQaM3/oQoA/xv9c8feMPEmrXGuavqNw9xcNvdg7DJP41/Ub/AMGmXxT8cX//AAUisfhtf3zz6NNplzM8EpLAsF4PJx+lfyifIhDD5h3FfuL/AMG/X7Xfw1/Yl/b+0z4zfFu7isdIWxltnkmOFHmYAP4UAf7CH/CM+Gzz/Z9t/wB+1/wo/wCEY8N/9A+2/wC/a/4V+SFl/wAF7f8AglHPaRTS/F/RondFLLuPBI6dO1Wv+H9X/BKD/osOjf8AfZ/woA/WX/hGPDf/AED7b/v2v+FIPDXho/8ALhbf9+1/wr8mx/wXm/4JQNyPjFowA/2m/wAK+/vgL+098C/2mvDcniz4G+IbfX9PTG6a35UbulAHsv8AwjPhrHFhbf8Aftf8Kms7O0s08m3RYo+yKAP5VeB2d818R/tHf8FFv2Mf2TdVGjftA+N7Hw7dnb+7uSQfm6dBQB9uF8SGM9KkiDAkfw9q/IFv+C8P/BKFef8AhcGjAntub/Cmf8P5P+CUPy/8Xj0ZNvbc3+FAH7C7gDtpcjOK/J3wn/wW4/4JieO9eh8N+EfitpN7qE5xFCjHJ7ccV+omia1pviDSLfXdKmE1tdoJYpF6FWGQR+FAHhf7Xt9daP8Asu/EDWLA7Li20G7kjYdmWJiDX+H18Vfil4+8d+PdT8TeJNUnmu5rhwzB2HRjjjNf7f37aH/JpXxI/wCxdvf/AES1f4XniP8A5GHUP+viT/0M0ARzazq1zGYrq5mlHozMR+pqojLt5+92PpVbDYOOlSDYhB+96igD+kP/AINbPh34S+J//BT/AErw740tBd2yaZcShWAxlQCOor/WGtPB/hm1tY7SPT7cRxKFUeWvRRgdq/x/P+Dfv9rz4bfsS/t/aZ8Zfi3dxWOkLYzWzyTHCgyYAP4V/pQ2n/Ber/glLLYw3M3xf0dGdVJXc3ykjkdO1AH85H/B5t8KPA/hf4O/Dzxx4fsY7bUdR1aVLiRFC7lVOBgAV/nlfLj3r+1z/g6a/wCCnn7MP7b/AIG8HfDf9nrxDaa/FoOovO9zbEncGXHSv4p5E24wOPWgD/Qy/wCDMj4UeCPFPwc+IfjnXrGO61HTdWiSCR1B2gpyORX9y934P8M3NrJaSafbmOVSrDy06EY9K/it/wCDKL/k2v4p/wDYZh/9Ar+3ugD/ACUP+Dpb4c+E/hp/wU/1XQPBlqtnZnS7eUxKAPmYEk8AV/N4ZNpOwYBr+n3/AIO1lQf8FXNTcPz/AGNa8f8AAa/mDG0OCefagCMocA+tSP5YUBRzX6G/A7/glX+3v+0x4Yj8bfBD4c6jrmlzIJEmt1BUqehr23/hwv8A8FZP+iO6z+S/40AfkxFrmtWoEcF5Oq+iuwH5A19nfsEfFfx/4L/a08BXPh7VJo/tuuWlvKrMzAq0qgjGfQ19M/8ADhf/AIKyf9Ed1n8l/wAa+xf2E/8Aggx/wUbj/aZ8J678Sfhzqnh7TtF1S2vZLmVRjEbhiPyFAH+r1onhvQLrQ7Ce6soJHMEZzsXrtHtX5kf8Fr9Tn+HX/BMX4seL/ByRWN/Z6SzxSxqFIOR6Yr9T9Ejng0y1sZBt8iFFJ9woFfk3/wAF5yT/AMEnfjF6f2M38xQB/jga54+8YeJNWuNc1fUbh7i4be7B2GSfxr+o3/g0z+Kfjm//AOCkVj8Nr6+efRptMuZnglJYFgvB5OP0r+UMbFIbqPSv3D/4N+/2vfht+xJ+39pvxj+LV1FZaQtjNbPJMdoBkwAaAP8AYMbw34cc7ZdPtzjnPlr/AIVbt9L020G/T4Y4AeuxQvH4CvyHsv8AgvT/AMEqpbGKef4vaOjuqll3H5cjkdO1fbX7N/7bf7MH7W9tLc/s8eK7TxJFAnmObUk4B49KAPrKPaq4XoKcWULk9KhUjiMjb7V8n/tJftt/sxfsjQxT/tDeK7Tw3DOnmI1ySBgcdqAPrik3DO3vX4+w/wDBd3/glNdSLaxfGLRhJIwVRubvwO1fpJ8HvjP8Nvjr4Ni8ffCjVYtZ0mY7UuofunFAHre9CSgPI7V/jE/8F5/+UsPxi/7DLf8AoIr/AGbYlUfOvPvX+Yn/AMFtP+CJv7ePxZ/by8d/Gr4I+BdR8T6b4k1Fp0kt1G1Vxx6elAH8gQUkbscCm1+r3i3/AIIm/wDBT7wHoMviPxX8J9WsrCAZkkdVwP1r8udZ0bUtB1a40TVojDc2kjRSxnqrKcEfhQBlq5Vgw4I6YrdHiDXUiyl/OAeNodhj9a56igD9zv8AggF8X/Huh/8ABTn4XeD7HUJTYavqyx3cMjFldQvTBOO1f7Bp8P8Ah9mJNjbt/wBs1/wr/Ew/4JW/HXwv+zT+3p8O/jf40kSLTNA1FbidnOFCgEc1/qleGf8Agv1/wSu1TQLTU9U+LGj2dzPGGkhLNlW/u9KAPkv/AIOjfGWufCP/AIJcat4j+HzJp142qW8JkiUKdrEgj5cdq/yhLnxT4muZnvpNRuGeVizfvH6nk96/v/8A+Dlb/grz+xt+1P8AsWXP7Pv7PPiux8TXVzewXW+1YkjYeRjiv89mgD+7f/gzO+JPi7xj8YfiL4E8T3Jv9M07SIngim+baS+D97Nf6EA8L+Gx+8Gn2+f+ua/4V/nSf8GUP/JyfxU/7A0P/oyv9HygD/O+/wCDzH4leLvB3xh+HXgPwxdGw0zUdJleeKH5dxV8D7uK/hoPiLxEU3nULjjjHmP/AI1/a5/wevf8nJ/Cv/sDTf8Aoyv4g6ANv/hJvEf/AEELn/v43+NH/CTeI/8AoIXP/fxv8axKKANv/hJvEf8A0ELn/v43+NH/AAk3iP8A6CFz/wB/G/xrEooA2v8AhJPEX/P/AHP/AH8b/Gkl1zWbkGOa8mZcdGdiP51jUUASApt5HNfr5/wQaYj/AIKvfB321lf/AEE1+P8AX6If8Eqfjl4U/Zs/b2+Hfxp8bzpb6XoWorPO8nChQCOaAP8Abf2Hy/3Zwxr+b3/g6Y+Ifiz4Zf8ABLvVPEHg66azvG1S3hMi5HysSCOMV9T+Gf8Agvx/wSy1bQ7XUdY+LOj2VxIgZ4SxyD6dK/P3/grx8VPgB/wWR/Ya1L4AfsTeMLbxjr5vYrpLSw+ZmEOSRgigD/LRufFnii7uXuZtQuS8rFj+8bqefWq58R+JFODf3I/7aN/jX65X3/BBj/gqzBfSxWvwe1ho42KqwVeQDgHr3r4k/aS/Ym/ag/ZLnit/2hvCd34bluH8tBcgDJHbigD5n/4SbxH/ANBC5/7+N/jR/wAJN4j/AOghc/8Afxv8axirL1FNoA6S18W+KLW4juoNQuQ8TBl/eN1HI71/rEf8Gs3xE8W/E3/gl7pWveMbo3l4up3EQkbP3VICjn0r/JTr/V3/AODST/lFDpf/AGGLr/0IUAf08eSWQeZyRUyZxT6KACiiigAooooAQdTS0g6mloA//9H+/iiiigAooooAKKKKACiimtu/hoA/zhf+D17/AJOT+Ff/AGBpv/RlfxB1/qS/8HGH/BGL4+f8FOfFPhfx18BY4JdS8PWL2qpcSiNSWbNfywWf/BpR/wAFV/tMf2vTNHEW8B8XS9M89vSgD+u//g0oZ2/4JQaYCML/AGzdc/iK/p7YfLtWvyI/4IpfsJeL/wDgnp+xRp37P3jnaNRgvJLqQI24ZkweDX67eRiTzAevagD/ABs/+C+viLXNY/4Km/FfSL+9knhs9YZYImPyqNo4WvyU8A67rHhvxlp2o6HO1tcpcRhZE4YfMK/uV/4K8/8ABtT+2z+1P+2X4t/aC/Z+trG4tPE181y/2qcIQCMDAr8+/hL/AMGl3/BSNPiDpsvxNsdMg0iKRXmeC5BYbWB4HFAH+kn+xxd3d5+yp8PLm8YtK/h+zLE9yYV5r6Q2yCXG35cda8p+Bngub4afBvwt8N7z/XaJpkFm2DnmJAh5/CvXhGP8/wD66AKzrj7p+gr8iP8AgvHv/wCHT/xhdhjGjNx/wIV+wRUH8K+JP+Ci37OOr/ta/sb+N/2fdCwLrxJYm2jy23kkd+1AH+HYU+Yb/lDU4b2+TG6v6lPE/wDwaT/8FRLfxFdr4b07SZNPWQiAyXS7ivbIrBH/AAaUf8FYCM/2Zo2f+vpf8KAP5f6K/p9/4hJ/+CsA66Xo3H/T0v8AhSf8Qlf/AAVd+9/Zej7f+vof4UAfzCjdjjpX+kZ/wZh+K9c139mn4lWutXT3QtdWhjgWQ5CLs6D2r+es/wDBpb/wVeyNumaNhun+lL/hX9Gf/BOS5+Ev/Btj8CtZ8Gftx3clnq/i6VNQWOyxNwg2tjBoA/s8GxxtDfNX+Vn/AMHaniHXpP8AgqBqPhua6cadHpNq6QZ+UNt64r+uK1/4Oyv+CUdzdRWUep6wHkZUH+inHJx61+NX/BVf/glZ8U/+C4XxVX9uj9hdoNR0vUreKyH22URf6oDPy8+tAH8Do3ZBkPFPKO3ygZz0Nf06D/g0q/4KwDD/ANmaN/4FL/hSyf8ABpZ/wViLZOmaMP8At6X/AAoA/m2+H+uav4b8Z6dqWi3D2twlwgWSPhh8w6V/uQ/sb3F1ffsrfDy5vfmeTw/ZszHqSYl5r/Nx+E//AAaXf8FJk+IGmTfEew0uHSYpFeZ4boFhtYHjpX+mh8CPAtx8M/g34W+Ht9/rtF0uCzcA5GYkCn+VAHB/tof8mlfEj/sXb3/0S1f4XniP/kYdQ/6+JP8A0M1/vA/HfwTcfE34MeKfh1Y/67WtLns0+sqFR/Ov8yf4sf8ABpZ/wUmk8fajN8ObHTJtKklZ4WmulD/MxPIoA/k/V9rZ7elPMY3Dd8oNf07/APEJR/wVgHzf2Xo3/gUv+FB/4NLf+Cr24FdM0b8bpf8ACgD+Y5Cx+QDdShxGpkxkHjHpX9NX/EJf/wAFYFnEX9l6PnGf+Ptf8KsD/g0u/wCCr5BZtL0bH/X0v+FAH8xJLKq5XK9qjlIOMflX6Tft4/8ABKv9qn/gnPJZr+0VZW9sl9MYYmtn3qWAz1xivzVbrkdKAP8AR7/4Mov+Ta/in/2GYf8A0Cv7e6/iD/4Mojn9mz4pj01mL/0Cv7dfMyP3dAH+Uj/wdqFI/wDgrDqZxuP9jWvH/Aa/mGkYO/ICY9K/0b/+C/v/AAQH/aq/4KBftXz/ALQv7O8FrcS3FpDast1MIwFjGDgV+EXhv/g0q/4KiS63aR+JtN0hNP3jz2jul3Be+KAP7vP+CAvhfQdI/wCCWXwn1bTbVIbi90dDNIowWOT1r9oK+HP+CdH7O2q/sk/saeBv2fNd/wCPvw3Yi2fnIyD619r3VwLO3a5l+5GpZsegFAFyqe1xKRt+XHWv59vjz/wcv/8ABNP9nf4gXfw18d6rqX9pWMjRSiCDeoZDgjINeLR/8HaH/BKKRjjVNYwB/wA+poA/pxdcfdP0FfkR/wAF49//AA6f+MLsMY0ZuP8AgQr4FH/B2n/wSfkUkanrHy/9Opr8rv8Agrz/AMHLH7FX7VH7Gniz9n34A3N7cXfiaxa2f7TAUAJPGD+FAH+e4UG8b/lBqRS5+QDd6VAH+bJpOQc9KAJdxHOfwr+5H/gy38T+INQ+PPxL0O5uXksrbSIjFAT8qnf2Ffw2gFuR6V/Qz/wb2/8ABUX4Wf8ABMf44+JvGPxcaSPS/EFpHau0Ue9gFbJwBQB/rloMsXByR29K/wA6r/g9J8UeIbD48/DTQYLl4rO50iUyQKflbD8Eiv3e/wCItT/glAV2jVNZx/16tX8VX/Bwj/wVG+Ff/BTb44eGfF/wjaSTTPD1pJao0sexiGbIyKAP57IJZonW5i4KEEH0I6V/q/f8GpHiDWvE/wDwSq0q71y6e5nXV7lNz8napAA/Cv8AJ9IfjPAr/Vt/4NK1U/8ABKXS4W4I1i6PH1FAH9PRYjEcQyO9IxjDccYqZtgwf5U0jJzjigDh/iDoGk+I/Buo6XrkCXVrJbuWRxkcKcV/hwfth21rY/tT/ES2tB5aR+ILxVQdABK3Ff7nniFUbw5qAH/PvJ/6Ca/wxv2zjj9q/wCI6Acf8JFe/wDo5qAPmKiiigBw64zinkBcBhXqHwY+EHjH47fEvSvhX4BiWfVtYl8m3Q8At+Ff0FeHv+DUz/gql4p0S31/TtL0kQ3KB1D3IVsH2xQB/NMVI6cVDX9P/wDxCT/8FYdv/IL0bH/X0v8AhTT/AMGlH/BV4Lj+zNGz/wBfS/4UAff/APwZQ/8AJyfxU/7A0P8A6Mr/AEfK/hb/AOCT/wCyr/xDraZ4h+P/AO3pOunt4pshZqtkwmBaMhiFGR2r9JW/4O1P+CUaqJP7T1jB/wCnU0AfgF/wevf8nJ/Cv/sDTf8Aoyv4g6/og/4OE/8AgqN8LP8Agp18c/DPjL4RtI+l+H7SS1RpY/LYhmyMiv54/LPegCOiv14/YW/4Irfto/8ABQvwn/wmX7P2n2k9lll8y5k8tfl6jOMV+gw/4NJv+CsB6aXo3/gUP8KAP5gaK/p9/wCISf8A4KwZx/Zmjf8AgUv+FMj/AODSz/gq9IxA0zRsLx/x9L/hQB/MLRX9PMf/AAaW/wDBV2QHZpej8f8AT0v+FeNfHj/g2h/4KUfs7eALv4keP9L03+z7GNpZTBOHYKgyeAPSgD+eurEUMrxtIg4XrT7mBra4kgk4MZKn6jiohuQDnCtQA/EbR5Y4YdBX9S3/AAaUeKdeH/BUPTvDMd062D6RdO0APylgvXFfy0uyleeo6V/Tt/waTDH/AAVh0sf9Qa7/APQRQB/q2YyPLB5r+Gz/AIPSPDPh+x+BHwz16C1SG9udYlEsqj5mATvX9zBQZxX88v8AwcHf8Etfil/wU6+CHhrwf8J1ifVPD11JdRrK4jUsy7Rk+lAH+RdKwLYXkDpUVf0/S/8ABpZ/wVdT5pNL0YZ9Lpf8K/F/9tv9gP8AaA/YD8cWvgD4/WcNrfXis8QhbcCFODzgUAfENf6u/wDwaSf8oodL/wCwxdf+hCv8ozC7MjrX+rn/AMGkx2/8EntLP/UZuv5igD+oGioGd1J9O1SocqM0AOooooAKKKKAEHU0tIOppaAP/9L+/iiiigAooooAKKKKACopScbF6mpaaeo4oApPGCy4+8Pyq3GoC4r8C/8Agrl/wXc+GX/BJPx94d8DeP8AwjfeJJPEVq11G9o6qEVW24O6vx4T/g9Z/ZsRePhZrP8A3+SgD+3V25yeAOlIZlk4+79a/iJf/g9V/ZqmUF/hXrJx/wBNkof/AIPVf2apNpb4Vazx0/fJQB/bpI2FEjDJX0pxdmCuOlfxGH/g9b/ZvBwfhZrP/f5Kij/4PVf2bWY7/hbrPP8A02SgD+3eONUGFHXmrg44r+HuL/g9W/ZyCnzPhdrB54/fJUw/4PXf2bf+iV6z/wB/koA/t+qGbCr5npX8RH/Ea7+zb/0SzWf+/wAlNP8Awet/s2N1+Fes/wDf1KAP7dcptE2DxRlTiQdfSv4iz/wes/s3H/mlesgD/pslQ/8AEap+zWv3PhXrIP8A12SgD+3plPU9KCwLY4Ar+IVv+D1f9mxzhvhXrO3085K/YT/gkT/wXb+FX/BW74heI/APgPwffeHJPDVqt28l06sGDNtwNtAH78FAFPl9RX+cj/wepX90n7RnwttVkdY20abcoJCn5/TpX+jaVlD7s/KK/wA47/g9UZG/aV+Fe9flGjTf+h0AfxHoWP8ApGcbemOtf6uP/BpncXN7/wAEodMmuZGlk/ti6ALnPAIx1r/KIIAG6Pj2r/Vv/wCDSnaP+CT2mHHXWbr+YoA/pzVmEQ87lh6VKzeYgLcA01VSJunJ4r+Xr/goJ/wc9/s9/sH/ABx1X4Ea34PvfEN/pFw1vcNayqApA7g9KAP6hSzJCdvbpQh3HzD1r+M34X/8HkP7MfxB8bWHhC6+Hmp6XHdsE+0TTJtXJA5xX9gnw78YWHxF8D6R4+0tdtvq9pHdRDrhZFDD9DQB1khKfOvWpMbl571x/wAQ/GFh8O/BGsePdSG630i0ku5F6ZWNSx/lX8fXxR/4PHf2Zvh540vvCNt8O9U1RLRinnwTJtbBxx+VAH9mahI1A7CoiQxKORg9MV/L1+wD/wAHPP7O/wC3l8bNL+BGjeDr7w/f6tcLbW5upUbcSOwFf1CRxQhcgZx0FAEyhSdrDkUgbzOOg9KkyzD93xikjQqfn5NAH8P3/B6hYWtt+zl8Lpo4kV31iYFwoyfk7mv85v55VEQ6L0Nf7HH/AAWo/wCCUNz/AMFVfhDonw+sdUt9JudDne4gluFLAMy7e1fyfr/wZVftKIDFH8VNGAPX9y9AH31/wZT/ALv9mz4qDp/xOYf/AECv7cgH34fGK/io+GfxK+E//Bq38Jp/hT8VLceMtV8YhdQxpzCMsYxtPDisuz/4PT/2abu7is5PhdrEYdwu4zJgZOM/hQB/bXkhsn7tOZwRwMHtXxV+wT+2r4E/b7+ANn8e/h7bNa6fcytCI2YMQy4yMivtcxk4J7UAQsr7Oe3WsjxE6p4dvsf8+0mP++TX8yP/AAUC/wCDn79nz9g346an8DNY8IXviDUNIuGt7g2sqjayjuD0r8y/ir/webfBrxP4JvdH8DfDrVtO1G4jKRzvKhC5BHQUAfw6ftrXV3eftafEU3UjysviC8A3EnA85uOa+XeAMc7q9H+LXj2b4lfFPxB8SCCja3fzXhVuo81i2P1rP+HXg69+IfjvSPA2lsFudYu47SNscbpGCjj8aAOKJC/OOhppClhgYWv7Nfhj/wAGcP7THxI8IWniyf4haXpRu0Di3mhfcMgHnFfKP/BQD/g2H/aJ/YQ+Bmq/HDW/F9l4g07Rrc3E62sTLtUcck0Afy7nG7Hp0p7MzkeZxgcdqhKnGTTpHd8Fu3FACDgAjrS72Lc05Vxxtya/T3/gmF/wTE+J/wDwU7+J2pfDf4b6jHpkmmRLLPPKpZQrHGTigD8wu+McU0MynjtX9u3/ABBVftIf6v8A4Wpo3/fl6/nH/wCCnn/BMT4nf8Exfifp3w3+I2ox6nJqUbSwzxKVVgpxkZoA/MDgj3r/AFb/APg0rkC/8EoNLQjrrN1/MV/lJnBPTBr/AFcv+DSwsP8Agk/phP8A0Gbr+YoA/pzGUxHH0HrS7lO7y+tNkV5EBHHqK/l7/b9/4Oef2ev2DPjhqnwP1rwfe+IL/R7hrec2sqjayjuD0oA/px8Q7x4ev9+ObaT/ANANf4ZP7ZsRP7WXxHYD/mYb3j/ts1f6BvgH/g8X/Zh+KXiWHwTefDvVNLXUAYftE0ybRu+XnH1r45+N3/Bpv8Rv2sfG0n7R/wAJPHmlaJpvjHdqwt5Y3Zh9p/eDkcd6AP4F6K/t8P8AwZR/tJ5/5Kpov/fl6T/iCk/aRzj/AIWrouf+uL0AfgB/wQhs4L7/AIKrfCGG6VXiOsLuVgCDwe1f7NcFrDbIscKqiKMKoGBj6Cv4sv8AgmD/AMGsPjf9iL9pzQP2g/iZ4y03xBJ4eu1ubdLdGVhgY71/ak0ce3pnHSgBm6bztkn3anCgD93waZlxhRxSsp++KAP4kv8Ag9Nu721/Zp+FogmaPfrEwYIxG4bOhx1r/OCUtnBr/Y9/4LS/8EoZf+Cqfwg0LwBYanb6Rd6FcPcQy3CllDMu3oK/k8f/AIMqf2kmYsPino3P/TF6AP4hQzKeO1JwR71+oP8AwU7/AOCYnxQ/4Ji/FDTfht8R9Qj1OTUomlgmiUqpVTjIzX5gEoe2KAP9WH/g0s022H/BKnTNRiiQTnWLpS+0btuRxnrX9Q0HCnaPzr+YX/g0vbH/AASc0ryzj/idXX/oQr+n3zlUiMcmgBg4b5CMmlCoh2Y5av5dv+CgP/Bzx+zt+wd8dtV+B+teDr7xBqOj3Bt52tZVUBlHcHpXyr8MP+Dx/wDZn+IvjC08J3Pw91PSlu3CC4nmTaMkDtQB/Zr82/IxtAwa+Vv21dMtL/8AZP8AiKLpEliTw/eMu4A4Ihb1r3H4d+MLL4g+A9I8eaWuLXWLSO7jXr8sihh+hrxz9shFj/ZH+I6ouB/wj17/AOiWoA/wzfEmH8Q36pgKtxJ/6GawlBY+XWv4lx/wkl/jp9pk/wDQjWJ34oAlPAKdSK/p4/4NKQf+HrmmFOv9j3X/AKCK/mEBX0r9J/8Aglh+3jdf8E5v2qrH9om1tpbsW9u9u0cJAYq+Mjn2oA/2xiRu2nrTNpj+b+I1/D7Z/wDB6j+zlHaxLe/C3WJJgih2EycsByatj/g9Z/Zuzl/hZrJ/7apQB/bxt3/I4r/OD/4PSre1sv2lfheLGFYy+jzFsKBn56/QM/8AB6v+zk6tt+Fusj0PnJxVn9on9nbwP/wdJeA7H44fBC8g8I6n4QgFh/px8woZPn/hFAH+cYpZoiowBX+rZ/waUED/AIJRaYo+7/bN1/MV+Btn/wAGVX7RUV9E938UdGeNXVnUQvyAeR+Vf2jf8EsP2D7b/gnP+ytY/s72txFefZrh7hpIRhSz4z1oA/SUrtO48gdKkiIK7vWmIjAdeKmXGOKAFooooAKKKKAEHU0tIOppaAP/0/7+KKKKACiiigAooooAKKKKAP8AOR/4PWf+Thvhf/2B5f8A0Ov4d0+9X9xH/B6z/wAnDfC//sDy/wDodfw7p96gCfcAnlxjJ7mpI9rEl22Begr+vb/gjL/wbifB3/gpt+yXbftB+MvG+o6DezXk1sba2jVlAjOAcmv1xH/BlT+zcx2f8LT1ncOv7lKAP841jk5ptf6PI/4Mp/2a3+RPinrOV/6YpS/8QUX7N3/RVNZ/78pQB/nC0V/o9f8AEFF+zd/0VTWf+/KUf8QUX7N3/RVNZ/78pQB/nC09TgEYzX+jv/xBRfs3f9FU1n/vylJ/xBS/s3KMf8LT1nJ/6YpQB/nKMsUBQg78jkelQALI+HO0V/o4J/wZWfs1q4RvinrIJ6fuUr8pf+Cyn/Btd8Hf+CaX7Hd3+0h4J8cajr17b30NqLa5jVVxIcZyPSgD+OMgjrX9vf8AwZQ/8nJ/FT/sDQ/+jK/iEYYOK/t7/wCDKH/k5P4qf9gaH/0ZQB/o7S/d9fav84j/AIPU3eT9o/4Wqw240abA/wCB1/o7yJkg+lfiV/wVZ/4ItfCL/gqjPplz8QNan0W60u3NvDcW6KzKpOeM0Af45IfcuCOfWv8AVy/4NKsf8On9MXrjWLr+Yr4Ds/8Agyx/Zss7mO7n+KOsMI3B2mFMEA9K5P8Aao/4KtaZ/wAG6Jg/YF+AGgWfio6eqXzPeExsfOAycLx2oA/udjOP4t2K/wAZT/gvKf8Aja/8Ycn/AJjLcf8AARX9C/hn/g9M+PN7r1ra+Ifhlo9pZSOBLKsrkhfWv0g8S/8ABBP9m/8A4LV+FtH/AG+r/wAV3fhi98ep/aU0NjErKS3GMtQB/mzeGgr+JbDLYH2iP/0IV/uafsaCR/2TfhxGnAHh6y5/7YrX8s/wp/4M5f2aPhr43svGN54/1LVVsXDC2nhXa+CDzj6V/X/8PPCFn4B8EaR4F0o5tdItI7SM4x8sahRx9BQB4r+2e7p+yf8AEbauf+KdvOf+2LV/hn+JSU8S37dQbiT/ANCNf7yvxF8GWPxB8Bat4E1Jytvq1rJaSHGflkXaePoa/j++KP8AwZw/s1fEjxnd+L7f4g6npS3jlvs0EKbVyc8UAfxlf8EHUL/8FYfg6yDaP7ZXH/fJr/ZqVRyU6iv5dv8Agn//AMGxH7PH7Bvx00v44aJ4xvvEOpaPcLcW6XUSgKy8cEdK/qI34YDofSgCSNnZOm05q1X5of8ABVP9vKH/AIJ1/srX37RE1rFdtbXCW6RSkhSz9On0r+Ly7/4PWP2iYruWG1+F2jvGrEI3nPyAeD+VAH+jlUbj+L0r/OJ/4jXf2kf+iV6N/wB/nqN/+D1j9pNyGX4WaNhf+mz0AWf+D1SZR+0h8LFYYP8AY02G/wCB1/EJIQ/yqmDX6df8FNf+CnnxP/4Kb/E/T/iR8StOj06TTY2iggiYsqqxzgZ7CvzDLMp2txQB/q5/8Gk3/KJ3Tf8AsM3X8xX9P9fzAf8ABpN/yid03/sM3X8xX9P9AH+ML/wXn/5Sw/GL/sMt/wCgivyBr9fv+C8//KWH4xf9hlv/AEEV+QNABX1H+xwgP7WPw4B+T/iobLj/ALbLXy5XcfDzxnffDzx5o/jvTRvudIu47uMHj5o2DD+VAH+8z4ZKjw3YJ1xbR4/74FflD/wXkY/8OnfjCrdTozfzFfxjfDD/AIPHv2mvh34Is/B918O9L1NrNAn2iaZ9zAAAZx9K+Uv2/f8Ag52/aH/bu+BWq/A3XPCFloGm6vbm3ne1lY7lPqDQB/LsFJIQmpsRxScHcuKBGdm9enc1+kf/AASt/YOm/wCCif7VFj+z3Fcy2aXNu87SwgFgqYzwfagD83RLhfLXqe9f24/8GVQaL9pP4qJj/mDQ/wDodfelp/wZVfs7yWUM1z8UNYSVlUuvlJwSBkfhXSfFH4efCf8A4NVvhHa/E74WzDxnq/jHOnZ1FRGW8sBhylAH9rAUAjjPvX+ch/wep5b9pL4WxKvJ0eb/ANDpf+I1T9pbbv8A+FV6Nj/rq9fox8Mfhv8ACf8A4Op/hHcfFH4pTjwZq3g4Lp+dOUSFPMG48vQB/m5CRRH5ZHzDvX+rh/waVf8AKJ/TF6j+2Lrn8RXwPZf8GWH7NlvdxzS/FDWH8tw+0wpggHOK479qj/gqzpf/AAboNB+wN8AdAs/FR05Vvme8JjY+cBk4XjtQB/c9GcfxbsV/jKf8F5T/AMbX/jDk/wDMZbj/AICK/oX8M/8AB6Z8eb3XrW18Q/DLR7SykcCWVZXJC+tfpB4l/wCCCf7N/wDwWr8LaP8At9X/AIru/DF749T+0pobGJWUluMZagD/ADZvDQV/EthlsD7RH/6EK/3M/wBjTzX/AGTPhxGnGPDtlz/2xWv5aPhT/wAGcv7NHw18b2XjG88f6lqq2LhhbTwrtfBB5x9K/r/+HvhCz8AeB9I8C6Uc2ukWkdpGcY+WNQo4+goA7JHBG2ThqhJ2/ePXoa87+Lfjlfhj8MPEHxDdBImiWE14d3QiJS2P0r+Bf4r/APB5p8YfDPja+0HwL8OdI1LTbaQpFcPK4LbSR0H0oA/0LBtUctg96sKDxjn3r+KP/gmF/wAHTfjr9t39pvw9+zv8SfBmm6FJ4hu1tbd4Hdi2R71/axHiI+Wx5boKAAE48stk0rOQQDwB3oUb+G4I6U5zx83XsKABnJXcBn2pUOUDY2n0r8UP+Cz/APwVZn/4JX/BzRPiFbaXb6nfa7O9tbwTkqCyrkDIr+Tdv+D1L9paM7G+FejfL1/fPQBZ/wCD1KZP+Gj/AIWKV2k6NNhv+B1/EM+W+QLzX6cf8FN/+CnfxP8A+CmvxP0/4k/ErTo9Ok02NooIImLKqsc4Ge1fmIXZRtxigD/Vu/4NKBn/AIJRaWHXAGs3XP4iv6eiiJ+8Udepr+Yb/g0oZ/8Ah1Bpm8fL/bF1z+Ir+nkuu3cn3aAP8Zb/AILzCMf8FX/jAwbOdZbI/wCAivyb8NBX8S2GWwPtEf8A6EK/1Qf2/P8Ag2H/AGe/29vjlqnxy1vxde+Hb/VrhriYWsSneSMck18tfCn/AIM5f2aPhr43svGN54/1LVVsXDC2nhXa+CDzj6UAf1MfsaCRv2TPhxGvAHh6y5/7YrU/7Z//ACaV8R/+xcvf/RLV7B8PPCFn4B8E6T4E0rm10i0jtIzjHyxqFHH0FeQ/tof8mlfEj/sXb3/0S1AH+F54j/5GHUP+viT/ANDNZcce9s9h1rU8R/8AIw6h/wBfEn/oZr6W/Yj/AGcbn9rX9p/wn+z1bTPbt4muxa748bhkdqAPlT5dxHb1psgAPBzX+ip4Y/4MvPgJqWh2sviP4lavaX0kYLxrChCn0rpV/wCDKf8AZu8oxn4pax9fJSgD/OCor/R6/wCIKL9m7/oqms/9+Uo/4gov2bv+iqaz/wB+UoA/ziEJztzgGv8ARy/4MrC3/DNvxSXoBrMPP/AKlH/BlN+zgOP+Fpaxg/8ATFOKh/aL/aH8E/8ABrH4Ksvgd8ELOHxjfeMIBfk348pmaL5P4KAP7ewuGDFu1MQqWIDZPpX+crYf8HqX7RTXcUVz8LtGETOodvOfhc8/kK/tC/4JXft4Qf8ABRv9lax/aMt7SKw+0XD27xwHIDR4yOaAP0rbdtDfdx2p8fJLDoaieTIDpyDUsagcr09KAJqKKKACiiigBB1NLSDqaWgD/9T+/iiiigAooooAKKKKACiiigD/ADkf+D1n/k4b4X/9geX/ANDr+HdPvV/cR/wes/8AJw3wv/7A8v8A6HX8O6feoA/1Uf8Ag0m2r/wTF0+L+P8AtW6+nWv6mVbj5hzX8s3/AAaSkj/gmHp5k4/4mtyP1r+ppwq4RByOlAE6Y/GpK/zif+Cpn/ByZ/wUg/ZQ/bx+IfwB+F2oaVHoPhzUWtrRZbcMwQAdT3r8+P8AiLX/AOCr/wD0E9G/8BVoA/1faK/ygv8AiLX/AOCr/wD0E9G/8BVo/wCItf8A4Kv/APQT0b/wFWgD/V9pjpvXbX+UL/xFr/8ABV//AKCejf8AgKtfoR/wSy/4OTP+Cj/7V/7eHw8+APxR1DSpNC8R6ittdrDbhWKEdj2oA/0aG+7tX7w6V/Mr/wAHZGX/AOCUupwpw39r2v8AM1/TWq7lK9+9fzK/8HZG4/8ABKLVPs5GRrFqP1oA/wAoFhg7T61/bx/wZQ/8nJ/FT/sDQ/8Aoyv4hj0P1r+3n/gyh/5OT+Kn/YGh/wDRlAH+jxJ0xVc8xmNPvVLJuyMdK/kw/wCDi7/gs78fv+CZnivwv4G+A0tvFqWv2LXKPPEJFBVtvNAH9ZrNGkfzjNf5S3/B2taXTf8ABVbUrwQuITo9qA+07c7emcYpLH/g7V/4Krpdxi51PRjDvBcfZV6Z5x+Ff1Bfsdfsf/swf8HDH7K+n/td/tdafcT+Ip7lrKWSzbyciDAHAFAH+YCsUlw6xQqXY8AKMn8hX+zZ/wAEJFa3/wCCUvwds7lGjkGjKCCMEfMe1fDfhz/g1H/4JW+GNctte0zStWaW1cOokuSwyPUYr+ef/gol/wAF+P2qv+Cb/wC0DrP7E37Icljp/hzwBctYQpdwK52AZGG49aAP9HbkMMfdHFLuDfd6V/lp/Cb/AIOzv+CkVx49sLf4kX2mTaRLKEmSC2AY7iBxX+md8B/HN58TPgt4X+IN2R52s6ZBeNgY5kQMePxoA9dYqrbj0oUYlLnoeleRfHjxzefDP4LeKPiDaEedoumT3i8Z5iQsOPwr/Mx+Lf8Awdnf8FI7fx7f2/w2vtMg0iKVkgSe2BYbSRz0oA/1Jnki3lAPm9cU2dS0exPv1/nw/wDBIf8A4OVv22P2qf2yvCP7Pv7QFzY3Np4nvltk+y24QgEc5Ir/AEIE+d9qcKOtAH8yP/B2VZ3V5/wSh1KG0jaWQava8ICeAfav8ow27CQxtwV61/urftT/ALLPwu/bA+FNz8Hvi5btdaLcuHdEODleBg1+Dl1/waZ/8Epb6eW7k0zWA0rFji6I5Jz6dKAP8oaQKG+TpS7H25HSv6xv+Di3/gjB8AP+CZXhXwv45+BEU8Vhr981sq3EpkbCrmv5PPK4z+lADQylxu4A9Kk8lnkEY5J6V/WD/wAG6P8AwRf+AH/BTXwt4o8cfHiKeXT9AvltmW3lMbYZc8Yr+rG2/wCDTP8A4JR2M8d2ml6yWiZWH+lHqOfSgCT/AINMra6sf+CUmmR3UbR/8Ti6OHG09R2Nf05rKskXmJXzP+y3+y18K/2QfhZbfB34L2z2mj2rl1SQ5OTjPOB6V9KuBw3YelAH+Mf/AMF5cn/gq/8AGLPfWT/6CK/IaSLaoYdK/X7/AILxru/4KvfGJz93+2W4/wCAivyT0q1jvNTtrOTlZpVT8GIFAGUV5wKUY+41f6YP7Fn/AAaq/sBfEH9nnw34/wDjNaahcatrdhBehra5IUCVA2MD60n7an/Bqr+wD8Pv2efEnj74M2moW+raJYTXu64uSVxEhbGOPSgD/NGXc8QBxhah39QT9K09WtI7PU7izj4WGVk/BTj+lUPKQ9O/SgBIy5IUV/Th/wAGmdzaWn/BVnTJLqRY/wDiUXQ+chR0HrX8xjlyQp7dMV9LfsuftRfFT9kL4o23xh+DVylpq9qhjV5BkYPXjigD/dTOHUbSCO2K/iU/4PULK4uP2cfhbJDE8ix6xKW2gnA2d8V/PdD/AMHY3/BVe1s4rGLVNIxCqqM2o6KMDvX7vf8ABKn9qj/iIu0/X/2fv2+oF1E+E7MXiNYoIQGkO04IB7CgD/O7/wBbPsiPB6V/o8/8GWNpeWf7N3xSN7E0QbWISpYEAjZ2/wDrV94Sf8GlP/BJ7b8mmayD/wBfR/wr9n/2Lf2BvgF+wZ4Bn+HfwFtJbXTroq0vmtuZiowOcCgD7aiEe7eK/wApz/g7Y069P/BVTU73ymEP9j2oD4OPu+vSv9WKMoy7RwBX5D/t1f8ABFD9ib/goV4x/wCE8/aB0+9m1Eqqb7WXyzhOnQUAf4ykUUk8ixopdm4CqMk/QCv9nD/ghDbT2/8AwSk+D9vdIYmGjKNrDBHzHsa+GPDv/BqT/wAErPDGt2viGx0rVvOtHEkYe5JGR6jHSv56f+Ci/wDwX9/an/4Jx/tAax+xR+yHJZaf4f8AANy1hGl3ArnaBkYPFAH+jwEwAPSgqoFf5Qv/ABFr/wDBV/8A6Cejf+Aq0f8AEWv/AMFX/wDoJ6N/4CrQB/pm/tqahZQfsnfEYXMiwqfD16BvIXJ8luBmv8NXxCC3iC/x0FxJ/wChGv31+P3/AAct/wDBSb9o74c3Xw08f6npwsL1Gjl+zwbGKsNpGQfSv5+5pZrx2mcjLksfqaAP1r/4ISXMNp/wVZ+D890yxxjWFyxIAHynvX+zTaXUc20qVdWHyMvIx+Ff4O/wU+LfjP4D/EzS/iz8P5lg1fRZfOt2YZAYe3Ff0FeHP+Drb/gqZ4W0O30PS9T0kpboEUvbBjge+aAP9YsK55OM09jgc4r/ACjF/wCDtb/gq4keP7T0ff8A9eq1FJ/wdp/8FXpVVTqejZB/59VoA/oH/wCD1G3nuf2b/ha1vE7iPWJixUE4GzvjpX+cLMuWLqcg1/ojf8Eqv2pP+IjCw1/9n/8Ab7hXUD4TsxeI1gogAaQ7eCB6V+lB/wCDSf8A4JQHGNM1nH/X0f8ACgD/ACjyN+1R6USptAr+hn/g4O/4Jc/Cv/gmL8c/Dfgz4UCRdM8Q2sl1Gsj72AVtoBNfz0CNSdnegD/Vd/4NLtRtv+HU2mWUUqecusXRKZG7GR2r+oeNg0S+UOD61/jIfsN/8Fpf20f+Cefg7/hAfgPqFpFpqsziO4i3jL9e+K/QM/8AB2r/AMFXCwP9paPsH/TqtAH+rgIeq9AalCYAHpX+UVJ/wdsf8FXi3yano23t/oq1F/xFr/8ABV//AKCejf8AgKtAH+r0VUCvlT9tPU7OD9k74jfapFiU+Hr0DeQuT5LcDNf5mH/EWv8A8FX/APoJ6N/4CrXi/wAfv+Dlv/gpN+0d8Obr4aeP9T04WF6jRy/Z4NjFWG0jIPpQB+BPiFC/iG/K9PtEn/oRr9XP+CEdzb2n/BVr4PXN0ypGusqSWIAHymvyVmlmvHaZyMuSx+pr0z4KfFvxn8B/iZpfxZ+H8ywavosvnW7MMgMPbigD/eEs5onfzEIdZOUZeRj8KvKjhD9a/wAnfw5/wdbf8FTPC2h2+h6XqeklLdAil7YMcD3zW4v/AAdq/wDBV1I9v9p6NvP/AE6LQB/q4JMrx5H0pPNZQFb7xr/KLf8A4O1P+CsHCnVNG/8AAVa/qn/4N0f+Czvx+/4KZeK/E/gX48S28upaBYrcu8EQjUlm28YoA/rOZxjBr/OR/wCD1OyvH/aL+F1zHEzRLo025wCVHz9z0Ff6M77+/wB2vza/bx/4JWfsr/8ABReCzg/aHsbm4FlEYY2t32FQeeDigD/FCQ5/dKMknjFf6u3/AAaZ2t1af8EqNMF3E0X/ABN7r5WUqcZHY1Xs/wDg02/4JSW15HexaVrP7lgwBuj1ByO3Sv3j/Za/Zb+Ff7IHwttvg78F7Z7TR7Vy6pIcnJ69h6UAfS6uhiBUYFSp0qGRAQC3QelSRMzcnp2oAlooooAKKKKAEHU0tIOppaAP/9X+/iiiigAooooAKKKKACiiigD/ADkf+D1n/k4b4X/9geX/ANDr+HZTg5r+4n/g9Z/5OG+F/wD2B5f/AEOv4daAP9VL/g0pj8//AIJe6d5vKrq11gD61/U4rFgMiv5aP+DSD/lGBp//AGFrn+df1Q0Af4w3/BejH/D2H4xgf9Blv/QRX5AV+wH/AAXp/wCUsPxi/wCww3/oIr8f6ACiiigAr9gf+CC5X/h6/wDB3j5v7ZXH/fJr8fq/X/8A4IM/8pYvg5/2GV/9BNAH+zduKjOOlfzG/wDB2PD5f/BKLVPI+XOsWv8AM1/T0fviv5jf+Dsv/lFJqf8A2GLX+dAH+T8/3q/t6/4Mof8Ak5P4qf8AYGh/9GV/EHX9vn/BlD/ycn8VP+wND/6MoA/0d5RlMdq/zh/+D1WJIv2jfhZs4zo03H/A6/0fa/zg/wDg9e/5OT+Ff/YGm/8ARlAH8RR8tU29z3r/AFbv+DSohf8AglBpZ6n+2br/ANCFf5RVf6un/BpazJ/wSe0vYN2dZuv5igD+n1mx8p5r/Gs/4L6+Gtc0f/gqj8WNU1S0khtrvWGMLsMBhtHSv9lT5a/PL47/APBK39gn9pXxXJ43+Nnw503xBqU7mR7icHcWPfg0Af4qfw/8P6v4k8a6bpXh+3e6uZLhCscYycBhX+5F+xzYy6d+yx8PLW4Qxyx+H7NXB7ERLxXx74S/4Ilf8EwvAPiK38T+EPhRpFlfW/MciKcj6c1+n2iaRZ6HplvpGlxCC0tI1hiiHRVUYAH0FAHgX7Ytm2ofss/EO2tkMkr+H7xUA7kxNgV/hveP/D+r+HfGWpabr1u1rPHcPmNxg/eNf7z2t6JYa9pNxomqRCe0u42hljPQqwwR+VfmB4r/AOCJP/BMPx1rUviDxX8KNJvb6Y5kldTkn86AP8wX/ggZ4Z1/Wv8Agqh8JtX0i0kltrPWFM0ijIQbT1r/AGTlBKkDivz4+BH/AASv/YK/Zo8VJ40+Cnw507w/qMDiRJ7cEEEdD1r9BFkO0+X8woAkVFRMJwaGV87s4Wvw7/4OA/2v/iX+xV/wT+1L40/Ci6lstWjvorVJYThlEmRn8K/zY77/AIL0f8FWJr2aSD4wawscjEqu5cKCeB07dKAP6zv+D0fxV4fu/gP8M9A066jkvLXWJTJEp+ZQU4yK/wA6399v839a+q/2i/21v2mf2tJopv2hvFl34ikt28xDckH5unavlPzXx/s+lAH+in/wZb+KvD9p8B/iZoOoXUcd5daxCY4icEgJ2Ff3Iqrht2fl7V/hj/s5/ts/tM/skvNN+zz4suvDkl04kc2pA+YfUV9rWH/Bej/gqxDdwyXPxg1hoo2VmXcOQD06d6AP9mUBhw3SkKHA8vgDtX4ff8G/H7X3xK/bZ/4J/ab8Z/ivdy3urNfTWryTHJYR4ANfuHhpPmPy0Af4x3/BeTH/AA9h+MRI4/tlv/QRX5T+GZIE1+xZvuC4jyP+BCv1b/4LyZP/AAVf+MeBkDWW/D5RX5Frtt5I5oX+YYIPoRQB/uV/sLeJdB8R/sk/D6Tw9dR3Cw6DZxvsOdrCFeKP26vEvh/w5+yN8QZ/EF1HbJNoN5HGXONzGFsAV/kD/C//AILGf8FGvg14Vh8E/DX4oappenQKqxxREAAKMAdPSoPih/wWI/4KO/GXwvL4L+JXxQ1TVdLnBV4JWG0gjB7elAH52eJnhbXr11HyG4k2j/gRrmzjdheBU87M8xlkO7cck/WoAAcn0oAl3jcvl8EcUgdN3zjNRsrLyRjNO8vB+f5aAJcxeVgDB9a/ty/4Mpx5n7R3xTUcEaND/wCh1/EHX9vn/BlD/wAnJ/FT/sDQ/wDoygD/AEcvKHl7JBnNPRFVcdAKkdtoqtukX/aBoAekfO9qewAOBVeHzAhEnrxUq4Hysc+1AEYZZGKOOF79q/xsP+C+3hjX9H/4KofFnVdRtJILa81hjBIw+VhtH3a/2SmlfHlonyjtX59fHH/glh+wR+0t4nfxt8b/AIdabruqTOZHmuFJYsfpQB/iPUV/s3Q/8EGf+CUalmb4O6Mcnj5T/jSx/wDBBj/gk+jbJPg/oxJ5A2t/jQB/jLbiUx+tSRsqdRgjvX+tF+3V/wAEHv8AgnDZ/sz+LfEXw1+G+l6Fqej6XcXkcsSnOY4ywx+Vf5Nuu2y2Wr3VqOkczoB6BWIoAyzKzS+YetJuO4setfoP/wAEsvgX4W/aW/bx+HXwR8ZwpNpuvaitvOjjIK4PUV/qjeE/+CBf/BLDSvD9ppWs/CXR7q7gjCPMVbLEd+tAH+NjIzE/NU3ysu0/e9a/2aR/wQb/AOCT5bb/AMKc0Y/8Bb/Gl/4cO/8ABJ8c/wDCnNGyP9k/40AfyR/8GWfhbXbT49fEzXb6zkitLjR4hFMRhWIfoK/0Vuc+mK/jM/4L2+JvC/8AwRd/Zx8J6n+wNpCeAL/xPdyWMsumnadiqGGc+lfxnn/gvB/wVbjVXb4yawx7rlf8KAP3a/4POPE3hzXf2lvhrb6Lcxzy2ukzJLsOdrb+hr+KGQxkfKOa9++P/wC058b/ANqHxEni/wCOXiG41/UI8hZbgjcM9eleCPGisBGd/FAEPmHy9lODsAVXpX+hD/wbW/8ABIf9jb9qb9iO1+P37QXhCx8TXlxfz2uy5U5AQ8HIr+izxN/wQM/4JW6xoVzpmjfCXR7S4mQqkyqcqfXrQB/jWgEnApK/RT/gqj8CfCf7NP7fHxG+CngmBLfS9C1Fre3WMYVVAHQV8BaNBHdaza28vzLLMqn6FgKAMipd/wAuMc1/rWfsK/8ABBX/AIJvXf7M3hLxH8R/h1pWuanrGl21688qndmSMMR29a+xx/wQW/4JPD/mjmjf98t/jQB/jHxsqc9x3ppmYyeaetf7Of8Aw4X/AOCTv/RHNG/75b/Gvx9/4Lcf8ESf2CfhL+wX44+NfwR8Cad4a1Pw1pzXCPbqcs2cD8qAP8wzzPmL96JGYnmo6/cb/g34/ZB+Gv7bH7f2m/Bv4rWUV/pLWMty8MwyreXg4xQB+ICqrrs6EV/cl/wZbeFtctfjr8TNe1C0kSyn0eIRSkYDEP0Ff1o6f/wQY/4JRwWUUV18H9GaREVWYq3JAxnrX2x+zl+xR+y/+yPbSxfs9eFLTwzFMmyQWwIBUdqAPq1YxsVsdO1JJuccdPSkTEgEkb/KelPU7+lAEJyGDjtxipVWQ9abkmULtx71boArGNuCnAHapEDBj6VLRQAUUUUAFFFFACDqaWkHU0tAH//W/v4ooooAKKKKACiiigAooooA/wA5H/g9Z/5OG+F//YHl/wDQ6/h1r+4r/g9Z/wCThvhf/wBgeX/0Ov4daAP9Vf8A4NIP+UYGn/8AYWuf51/VDX8rv/BpE0Y/4Jf6eOjf2tdfTrX9TIeTA9aAP8ZD/gvT/wApYfjF/wBhhv8A0EV+P9fsB/wXoBH/AAVh+MR/6jLf+givx/oAKKKKACv1/wD+CDP/ACli+Dn/AGGV/wDQTX5AV+wP/BBhSf8AgrD8HW7DWV/9BNAH+zofviv5jf8Ag7L/AOUUmp/9hi1/nX9NZZz069q/mP8A+DsyQD/glHqZb/oMWvT60Af5QNf2+f8ABlD/AMnJ/FT/ALA0P/oyv4g6/t8/4Mof+Tk/ip/2Bof/AEZQB/o+V/nB/wDB69/ycn8K/wDsDTf+jK/0fK/zg/8Ag9e/5OT+Ff8A2Bpv/RlAH8Qdf6uf/BpYXH/BJ3SzEM/8Tm6z+Yr/ACjK/wBXT/g0rdY/+CT+l7uv9s3X8xQB/T8FJGRWTc6ro9sPs11eQxMOMMyqf1NaJfyyC/f0r/JR/wCC9f7df7Tlv/wUg+Ivw48N+LdU0bTNA1RoreOyuZIxjHcKQKAP9ZFfEnh1htF9bErxnzF/xpY/FPhuQZj1C3OOP9Yn+Nf4ZKftoftZo2R8RvEP/gbN/wDFUg/bN/ayUED4jeIRn/p8m/8AiqAP9zh/E3hqKTe2oW4zxjzF/wAabJ4o8Opj/TrbLcf6xP8AGv8ADNP7ZX7WQAU/EbxDn/r8m/8Aiqef2yf2tPN2yfEbxDnt/ps2P/QqAP8Acy/4SHw/9z7fbMO/7xP8aiPiLwyeE1C3XHX94n+Nf4ab/tkftaAnHxH8Q5HX/TZv/iqRv2zv2sWTB+I3iEH2vJv/AIqgD/T6/wCDozwbrnxa/wCCXuqeHfh4qajdLqdvKY4mDHapJJwM9q/yjpvCPie3uZLSbTrhXhYq37tuq8HtX9cn/Br9+1D8YPjn+3dafs+/G3VbjxZoF3p1xcvBqsjXC7lXj5XyK/0UZP2M/wBk6RzI/wAOfDxY8k/Yof8A4mgD/DEHhnxE5Bj0+4JH/TNv8KiPh3xEJNx064+nlv8A4V/ueH9i39kzOR8OfDw+llD/APE0N+xh+yX0/wCFceHcn/pyh/8AiaAP8MhvDHiOMbm0+4Bbp+7b/Cp4vCPiea6is4dOuGeUqq/u26twO1f7lb/sZ/smrgH4ceHvb/Qof/iaUfscfsopMpT4c+Hg68g/YoeMf8BoA/Fb/g1q+G/i74Z/8EvNK0LxpatZXTapcSiNv7rEFTyBX9IRZj9BXP8Ahzwd4Y8H6Umh+FLGDTbSM5WG2UIg/wCArgV0vlr/AJ//AF0Af47X/Bf74P8AxA8Pf8FOvih4u1DTpvsOr6sz2rojMGAUeg9q/Et9A8QKCWsZ1HvGw/pX+7b4x/Zv+AHj2/bWPG/g3R9WuWO4y3VtHIxP1ZTXz18Y/wBgT9kTxz8P9R0CTwFoll5kDMJYLSJWG1T0IUUAf4hUj+TF9nZPm9T1HtVUNg4PAr6A/ao0HT/Cv7SPjrw1paBLWw1u6giAGAFWRgBj6Cvn3DAbqAHADIDnipI4nmm8q3UuW4AAyfypiRM3zcYFfpr/AMEdvhf4Z+Mv/BR/4X/DfxjCs+m6rqixTRsoYEYPGDxQB+cQ8OeIXH/HjcEDp+7b/Cq1xpeq2S+ZfW0sajj51K/zFf7lHhf9hP8AZJ8N6Ba6FF8PtBmW1jEe+SzhLHHcnbX8xH/B1R+xZ+z18Pf+Cf8AefGfwB4bsNE1K31C2tl+xQJENrHn7oHpQB/mc1/b5/wZQ/8AJyfxU/7A0P8A6Mr+IOv7fP8Agyh/5OT+Kn/YGh/9GUAf6O0wQLuc4ArKutV060URXs8cG77u9gvH41qSoDg+lfwSf8HfX7Wvxr+BfxO8BfDz4X63daPbaxpcksz2kzxNlXwMbcUAf3gHxN4d2fu762bHH+sX/GoT4p8ONJ5X2+2Dgf8APRf8a/wzz+2X+1mf3i/EfxDj/r9m/wDiqhH7Zf7WO7P/AAsbxDn/AK/Zv/iqAP8Ac1/4SPw6cFtQt1I/6aL/AI1K3iTQDINt7bFT/wBNF/xr/DIX9s39rRT/AMlG8Q8/9Pk3/wAVSj9sz9rPds/4WP4hz/1+zf8AxVAH+5yPEXh4tlL63OOwdf8AGtOOVZPnAGT93HpX+IT8Hf2+f2uPA/xA0zWoPHmt3rrOg8q4u5WQgsByCxFf7Pv7LOt3vir9mvwN4k1Zy91faJazSt1JZolJoAwv2x9zfslfEeWVQr/8I9ej/wAgtX+GV4jZl8R6grDJ+0SD/wAfNf7nP7ZMYP7JPxGUH/mXr3/0S1f4Zvie3I8R36fxC4kz6feNAH6Z/wDBEzxdo3gH/gp18KPF/iOUW9jY6sryuegG01/sxaD4/wDB/iPRLfX9I1G3khukEkZ3qPlP41/guaRrOr+HtSj1bRLiS1uoDlJYiVZT7EdK+grT9sP9qa0hS3tviJ4gihjGAq3koAHoBuoA/wB0e01XTL75bO4ilb0jZW/lVx+u5jiv80H/AINWP21P2hfiB+3/AGnwV8e+JL/WtJudPubkm9meQ7lHH3yeK/0vuFPlJyaAP4jf+D1r5P2bPhWB/wBBmb/0Cv8AOLjl8uUSMN2Oxr/Rx/4PWiD+zd8K1/6jM3/oFf5xwG1hgdaAL8en399IZLC3eX2jBbH5CtKy8K+Jby5jtItPuA8rBF/dt1PA7V/dv/waC/sjfBL45/DDx78RPiholprFzo+qxxQpdxLIuCmcYYV/bvH+xx+yXG4MXw48PBl5B+xQ8Y/4DQB+LP8Awa0fDrxh8Mf+CXWleHfGtobS6bVLiUI2c7WIKnkDtX9IKlP+WYrnPDHhfwz4N0xdD8JWEGnWacrDboEUfRVAFdEzouAf0oA/x3v+C/8A8IPiN4e/4Ke/FDxZqOmTfYNW1ZntnRWYMoA9B7V+Svwq+Ffj3xz4803QfD2lTzXUtwhVCjAYDD2r/ch8X/s3/AL4gam2r+OPB2karck5Mt3bRyMT9WWuf0v9kb9lzR7tdQ0r4f6DbzR/deO0iUj6ECgBv7JWm3+i/sufD7TLqPbcW+g2cbqexWJQR+FfSg6c1nWlnb2MUdrZoscUShUReAqjgAD0q5uYHtQBLX5Rf8FuPCPiDx1/wTB+LHhXwxAbm9u9IZIox3OR6V+rDSAYxWbrOjaT4g02XSdbt47u1mG2SKUBlYehB4oA/wAFXW/Ani/wzq9xoeqaZcLcWz7JF8t+CO3Sv6kP+DS34S+Pov8AgpNY/ER9Olj0mLS7mF5nVlwxXgcj2r/SYn/Y6/ZTu7hrq7+Hfh+WSQ5Zms4SSf8Avmu58C/Af4LfDKc3vw88L6Zosp432UCRHn3UCgD1MiRFG0bqrXV7a2UIa6dI4z3cgDH41a+VW2HoK/kS/wCDtv8Aae+LH7OX7Nfgd/hTqU+lya5qEttNJbu0bBQmeCtAH9aUfiLw7jbHfWwXt+8X/GtS3uoLrmxkSRO7IQf5V/hdL+2d+1eI9o+I/iLP/X5N/wDFV/ow/wDBpN+1B8WP2jf2avHD/FXU59Tl0PUIbaGWeRpG27c8lqAP68FVjwanqsHHmD6U8TAnAoAmoqEyhMBu9PV8sV9KAH0UUUAFFFFACDqaWkHU0tAH/9f+/iiiigAooooAKKKKACiiigD/ADkf+D1n/k4b4X/9geX/ANDr+HdPvV/cR/wes/8AJw3wv/7A8v8A6HX8O6feoA/1T/8Ag0pUXH/BMDTYn4C6tdH9a/qdkyPmHQV/LL/waT5P/BMbT5B93+1Lkbfxr+pcKWwegHQUAf5B3/BcD9lr9pHxn/wVE+Lfibwn4F1zUNPutXZobi3tJXRhtHKsq4Ir8n/+GMf2s/8Aom/iH/wDm/8Aia/3Q5NA0O5czXFnBIzdSyKT/Kk/4Rjw3/0D7b/v2v8AhQB/he/8MY/tZ/8ARN/EP/gHN/8AE0f8MY/tZ/8ARN/EP/gHN/8AE1/uhf8ACMeG/wDoH23/AH7X/Cj/AIRjw3/0D7b/AL9r/hQB/he/8MY/tZ/9E38Q/wDgHN/8TX6xf8EP/wBln9pHwZ/wVE+EvibxZ4F1vT9PtdXVprie1kRFG08sxUACv9eD/hGPDf8A0D7b/v2v+FOj0HQbVxPBZQRsvRlRQR+QoA0EPG5ulfzIf8HY0cdp/wAEodVKgnOsWv8AM1/TWwwhbqpr+Zb/AIOyH8r/AIJS6nIeU/te14/E0Af5QJ6Z96/t5/4Mof8Ak5P4qf8AYGh/9GV/EO3X5ema/t4/4Mof+Tk/ip/2Bof/AEZQB/o+V/nB/wDB69/ycn8K/wDsDTf+jK/0fK/zg/8Ag9e/5OT+Ff8A2Bpv/RlAH8Qdf6Y//Bqt+2l+z38P/wBgC0+DHj7xJp+iapb6hc3J+2zJENrHjhiPSv8AM4rStNV1KxXbZXMsI9EYj+VAH+5T4l/bn/ZM8NaBd67cfELQJ1tYy+yO7hLHHYDdX+P5/wAFi/id4Y+Mv/BR34n/ABJ8HTLPp2qao0sLoQQRgdCOK/OaTxB4hI2vqFwQe3mN/jWLJK8sheVixPc80ARUUUUAaNrDcX08djbxmWWQhUVBliT0AAr6F0/9kn9pvWrJb7Svh/r9xbuP3bx2krA/iFqH9kHTrTV/2o/AGl3qhoLjXbSORT3VpVBFf7gnwp+Evw/8CfD/AEvw74d0u3itYbdCqlFPVR7UAf4bniz9nH4+eAdPbVfHfg3WNJtUGTLdW0kagfVlArxhwyDywRhq/wBh7/gv98H/AIe67/wTF+J/ivUNMh+36TpLPbSqqrtOR6Cv8dwkfNu5PrQB/T3/AMGlX/KV7SwOH/sa6/8AQRX+rxX+UP8A8GlTu3/BWDS3PbRrof8Ajor/AFd8jGaAFqtPjI9e1ThlK5HSoZF8wYHT0oA828dfF74YfDNEPxH8QafoquMg3kyxAj/gRFeTp+2f+ycHw/xH8O5HT/TYen/fVfw3/wDB5v8AFTxx4V+Mfw68B6DfSWumajpErzxoxXcVfA6EV/C1/wAJF4g/6CFx/wB/G/xoA/3Qx+2d+yYP+aj+Hf8AwNh/+Kpf+Gz/ANk3/oo/h3/wNh/+Kr/C8HiPxH1F/c/9/G/xpP8AhJPEX/P/AHP/AH8b/GgD/dCf9s/9k3b/AMlH8O/+BsP/AMVWbd/ta/sweJ9PutG0jx9oNxcSwuiRx3cRZiVIGAGr/DTXxF4jZgDf3P8A38b/ABr0H4W/FPx/4D8faZ4g8N6pPFdQ3CBW3sRgsO2aAP0E/bu/YM/al0X9qXxnqGk+DdW1ay1bVrq9t7iztZHRkeQsMMoIOQa+Itf/AGWf2lfCmnNrPiXwNrVjbIDukntZFUAe5XFf7ZX7JVnpniX9l/4f61q9rBNc3Og2kkjsiklmiUk8ivLv2+vg98PvHH7Jfj628S6XBL9i0O7niZUVcMsTEdB2xQB/iFEeXyoIZeua/TT/AII7fFDw18Hf+Cjvwv8AiX4xmWDT9M1RZZXYhQoAPc8Cvzi1xQmuX0S8Kk7gfQMax0me3l82AlGH3SOCKAP9zLwr+3X+yd4k0C21z/hYWgQi5QOEkvIQwz2I3V/MT/wdSftpfs//ABD/AGALz4N+BfEmn63qNxqNtcL9imSUBVPP3Sa/zV18ReIOgv7ge3mN/jVW51fUr1PLvLmWZfR2LfzoAzK/t8/4Mof+Tk/ip/2Bof8A0ZX8Qp+6K/t5/wCDKNgP2k/inn/oDRf+h0Af6O0zDhD3r+B//g72/ZH+Nnxt+JngT4jfC7RLzWbPRtLkinjtInlbczZGAoNf3yP0rJu9L0+9xLfW8c+OgdQ3H4igD/C7X9jH9rLPPw48RY/68pv/AImpx+xf+1qiecPhz4hweMfYpv8A4mv9zP8A4RjQBH+6sLYH/rmv+FK/hzw6VBbTrf8A79r/AIUAf4Ylx+xv+1bZ27X138PdfiRBks1nKAB/3zXgWtaRqGh38mk63bS2d5CcSRSqVZT6FT0r/eX8S/D3wj4k06bRdX023ltrldjKI1HB/Cv8aT/gtn4R0PwN/wAFP/iz4U8ORC3srTV2SJB0A2j0oA/MPw/P9n1q0kJwqzoTn0DCv9mX/gn5/wAFAf2TfE37Jvgu2uPGukabPpmkW1rLDd3UatuSIA8Ejjiv8YF2TACjpWpDr+tQKI4bydAOyuwH86AP9mn9v/8A4KCfsneFP2TvGsFt410jUptU0i6tIYbS6iZtzRFRwpPHNf4zuvyCbWbyUHKvO5X8WOKgl1zWbkGOa8mZcdGdiP51lApt5HNADjhMbOtT/wCj7PmU7qrIzr8y9qlfft3t1NAH9Bf/AAbUfHzwD+zv/wAFJtK8f/Eq8isdN/s6a38yRlRQXwBkniv9Ta1/bZ/ZJu7WO5HxE8PjzI1fBvIcgEZx96v8MOC5eAboGZJB/Epxx+FaX/CSa8G/dX1wB0/1jf40Af3df8He37XfwN+OHwx8BfDf4W61a6zd6Nqkksz2sqyrtZMDG2v4MRLHkOB8/wClT3t9qN03l31w8uOm8lv51ncDINAH97f/AAaEftc/BL4I/DPx78Ovinrdno1zrOqRywvdSrEu1Ux/Fiv7el/bL/ZPkKpB8RvDu44A/wBMh/8Aiq/wuLO/v7RttnO8Of7jFf5VsW3izxBa3cd3Bf3AaIhl/eN1Xp3oA/3ofDPi7w34v01da8LX9vqdlJws1s4dT9CvFdOwwML+tfzd/wDBrP8AETxZ8Tf+CX2l694wujeXa6ncRCRs/dUgKOfQV/SCY8qBKcsKAFwGUq/Woi3kLlyAB/KrW0sOeorC1+Nl0W9uQfnS3cr7YU0AeLeIf2pv2a/CmrHS/EvjnRLC7TgxT3USsMf7Jajw9+1N+zX4s1UaX4a8c6Jf3b4Ait7uJmOemAGr/GA/4KAfGP4g+Pv2s/Hs3iXU55pLLXLu3hKsyhUWVgBjPoKX/gn/APGH4h+Av2svAVx4a1KeJ73XLS3mLMzAo0qgjGfQ0Af7fQbzlzGRg/yqlq+raV4f0yTVdYuY7O0hGZJZWAVR7k8CoPD0RbRrG4z8728Zb/vkV+Yn/BbfxbrvgT/gmB8WfFfhic299Z6QzxSL2OR6UAfXs37Y37KNpcSWNx8QtAilQ4ZWvIQQfpuqtF+2V+ydFJ5a/Ebw9sPf7bD/APFV/h0a94/8YeItVn1vV9SuJLm6be7B2HJ/GsxvFHiJotkd9cBe/wC8b/GgD/cyb9s/9ktf+ajeHT/2+Q//ABVfyvf8HUnw/m/bY/Zp8DS/s03kHi+XQdQluriPSWFyQhXA4jJr/Np/4SHxEF8xdQuPTHmN/jX9zH/Bmd8SfF3jH4w/EXwJ4nuTf6Zp2kRPBFN820l8H72aAP46z+xd+1njzR8OfEH0+xTf/E1/oI/8Grfw/m/Yn/Zr8cSftMXkHhCXXdQhuraPVWFs2wJjpIRX9kX/AAi/hofvP7Ot8/8AXNf8K/z4P+DzD4k+LvB/xh+HXgTwtcmx03UdIleeKH5dxD4H3cUAf3Qw/tnfsoTMEj+Ivh3cTgD7ZDyf++q9w8NeLvDni/TV1rwpf2+pWUnCzWzh1/ArxX+C9a+KfE1rNHfRahcB4mDL+8bqDkd6/wBYb/g1n+Ini34l/wDBL7S9d8Y3Ru7xdTuIhI2fuqQFHPoKAP6Q2GBhf1p0R6g9aZ5TFB5nJFTISRzQA+iiigAooooAQdTS0g6mloA//9D+/iiiigAooooAKKKKACiiigD/ADkf+D1n/k4b4X/9geX/ANDr+HdPvV/cR/wes/8AJw3wv/7A8v8A6HX8O6feoA/0U/8Ag2v/AOCon7Cv7J3/AAT8svhv+0B8QtO8N63HqNxK1pckhgrH5TwO9f0Mr/wXm/4JQht5+MejYPbceP0r/Ga2uqbhyp4p0UcZ3LIdpA4xQB/s0r/wXk/4JQp8x+MejEHp8x/wp/8Aw/q/4JQf9Fh0b/vs/wCFf4xTZHyntTaAP9nf/h/V/wAEoP8AosOjf99n/Cj/AIf1f8EoP+iw6N/32f8ACv8AGIooA/2d/wDh/V/wSg/6LDo3/fZ/wprf8F5v+CT7jH/C4tGx/vN/hX+MVT1DEHbQB/s2j/gvB/wSidgw+MejBR23N/hX4E/8HI3/AAVQ/YL/AGqP+CcmofC34B/ELTvEmuSanbyraWzEsVU8np2r/OTaNNyfZm3EjkelQKAW2OdooAiYgnIr+3r/AIMof+Tk/ip/2Bof/RlfxCnb2r+3r/gyh/5OT+Kn/YGh/wDRlAH+j5X+cH/wevf8nJ/Cv/sDTf8Aoyv9Hyv84P8A4PXv+Tk/hX/2Bpv/AEZQB/EHRRRQAUUUUAFFFFAH05+xd/ydr8N/+xhsv/Ry1/uheG/+RdsP+vaP/wBBFf4Xv7F3/J2vw3/7GGy/9HLX+6F4b/5F2w/69o//AEEUAfkz/wAF6QD/AMEnfjH/ANgZv/QhX+Md8iEMPmHcV/s4/wDBecY/4JQ/GF/TRm4/4EK/xjynzDf8oagD9xP+Dfv9rz4a/sTft/ab8ZPi1dxWOkLYzWzSTHCgyYAP4V/pN2f/AAXq/wCCVJsYpLr4vaOjuqll3H5cjp07V/jRguflUbqiYHAfrQB/udfs4ftufswftbW0tx+zx4rtPEkUCeY5tSSAp49q+s4un3dtf50//Blv4k8QX/x4+JWiXFy8tlb6PCYoCflU7+wr/RUi++3P4UAf5xn/AAevf8nJ/Cv/ALA03/oyv4g6/t8/4PXv+Tk/hX/2Bpv/AEZX8QdAH3B+zp/wTq/bJ/az0ka5+z94GvvEVpkjzLYAj5ev5V9Qn/gg3/wVbE/kj4P6xx1+Vf8AGv72P+DSnwzoCf8ABL7TvEsVrH9vfVrpGnx8xAI4zX9SWY9zJHy4FAH+MtL/AMEG/wDgq+hOz4PayVHQ7V/xr0n4Qf8ABv8A/wDBT3X/AIhaZY+Kvhfq2kWHnK8l06jChWFf7DwbcuWGCOooSPanX5W/SgDxb9m/wpf/AA8+AHg7wPq6GK50nSLa1lB6ho41U/ypP2j/AAlqXxA+AXjHwNpCGW51bR7m1ix1LSRsox+de2tEcBl+YelCRbhuPy+1AH+O78X/APggB/wU88P+P9S0/wAJ/C/VtWsBMzx3SKoVgzHp0rzRP+CDP/BWBxu/4U7rP/fK/wCNf7NDKGGAcKvP1qzAMruHAPagD/GP/wCHC3/BWH/oj2sf98r/AI0f8OFv+CsP/RHtY/75X/Gv9niigD/GE/4cN/8ABWAts/4U7rOR/sr/AI1/Yz/way/8Ew/2nf2IvHXjL4kftDeHbvQJde05LdLa5UDayvntX9qbR75NmcEc08RhmPOGoAmjfeT/ACqaoIk8vII/Gp6ACiiigAr/ABhf+C8//KWH4xf9hlv/AEEV/s9V/jC/8F5/+UsPxi/7DLf+gigD8gaKKKACiiigB8YDNtY4FSNjGwNkdqiUAnnirQmGwqEB96APUPhB8GfiR8d/FkXgH4UaRLrOrzDckEP3iBX6Q2v/AAQm/wCCq95Gt1b/AAe1hkdQy4VehHB6190f8Gpfh3RPE3/BVLStO1q3S7hGk3LiNxkBgBg/hX+sDFDHAFt4VCKigDHYDoKAP8Mv9pH9if8Aae/ZJuYbT9ofwnd+GpJ38tBcgDJ9OK+T2AHQ5r/RX/4PSvDHh6x+A/wz162tkivbnWJVllA+ZgE4zX+djOw2qqqAB39aAKlFFFAH+hX/AMG1X/BXb9jX9lT9iW1+Av7QXiyx8M3dvfT3O+5YgnceBgV/S1pX/Bcz/glbreowaXpvxd0ea4uGCRqGOSfQcV/jBRpJIdnYVcsdQvNJvY7/AE+QxywncjDgg+1AH+9b4D8feFviZ4VtPGvgm7S+0u/TzLe4j6MvqK19biuLjTLqyjGfOhZQfQlSK/Kr/ghjq2q65/wSv+Eer6pK1xcT6OpZn6k5NfrQi56n8PSgD/Ja/bs/4IMf8FG5P2mfFuvfDX4cap4h07WtUuL6O5iUbQsjlgO3Y1kfsZ/8EMf+CiXhj9oTwz4++L3w81Pw3oPhvUINSuLudRtVIXDsT14AFf6321zKAF+XHWvm79se7ubL9lX4h3FmxSWPw/eFSOoIhbBoA+JtY/4LY/8ABMf4bXEPg3xZ8V9JtNQs41jlhdjlSqgentXy3+3D+25+xt/wUr/Yy+IP7Ln7LXj6x8S+JvElibO1tbMlnZyQQACK/wAlnx7reseJfGOo6hrk7XNy9w+ZH5J+Y1+tn/BAnxLr2i/8FT/hPo+n3skEF5rCrPEpwrjaeDQBD4o/4IE/8FT9G1u60zSvhPq95bxPtjnCqAwHfrXyH+0l/wAE5/2yf2SNHGu/tA+B77w3ZnaPMuQAMt06V/uFA8nHNfy1f8HavhbQf+HX+o+KpbWN76PVrWNZSPmCk9KAP8qev7fP+DKH/k5P4qf9gaH/ANGV/EHX9vn/AAZQ/wDJyfxU/wCwND/6MoA/0dZTtxj8q/ij/wCDpr/gmJ+09+29478GfEj9nrw7d+IJdB017d7e1UHJZs1/a3MCSFAqNl8sjJy1AH+MzZ/8EGP+Crk19FbTfB/WY1d1DNtX5QTjPXtX+lF/wb8fsh/Er9iX/gn/AKb8Gvi3aS2OrrfTXDxzDayiTBAx7V+4Cx7X8snk85pyqjPyd2O1AD8SIoT71ToFHyjqKhdzgA8E8VJFgZXuKAJqKKKACiiigBB1NLSDqaWgD//R/v4ooooAKKKKACiiigAphkAIB70+onIyFoA/j2/4OS/+CNX7Yf8AwUy+Lvgjxh+zVaWNxZ6Fpz21ybqYRkOz5GB9K/mRP/BpR/wVeAydL0b/AMCx/hX+rbCgEhEfA70qpGj/AGcA885oA/ylV/4NKf8AgrIvA0vRsf8AX0v+FKf+DSr/AIKyHH/Er0bj/p6X/Cv9XcccUUAf5Qx/4NJv+CsRPOl6N/4Fr/hSf8Qkv/BWH/oF6N/4Fr/hX+r1RQB/lC/8Qkv/AAVh/wCgXo3/AIFr/hR/xCS/8FYf+gXo3/gWv+Ff6vVFAH+UL/xCS/8ABWH/AKBejf8AgWv+FKP+DSb/AIKxDppejf8AgUv+Ff6vNFAH+UMP+DSf/grGvTS9G/8AApf8KG/4NJ/+CsZ/5hejf+BS/wCFf6vNFAH+UF/xCU/8FYN+z+zNG/8AAof4V/TL/wAG2X/BGn9sT/gmX8Z/HPjT9pW0sbaz17To7a1NrMJCWV8nIHTiv7DZVjf5Dxio5IUOwPn5TxigCV5yh9l61/Jn/wAHF/8AwRi+Pv8AwU48X+FfHPwHjglv9AsHtlWeURrlmzzX9Z8hI5GMVHtATcuATQB/lHD/AINKf+Cr7Z26Zo2P+vpf8Kd/xCS/8FYf+gXo3/gWv+Ff6uT7HTB/SpwMDFAH+UN/xCS/8FYf+gXo3/gWv+FH/EJL/wAFYf8AoF6N/wCBa/4V/q9UUAf5Qv8AxCS/8FYf+gXo3/gWv+FH/EJL/wAFYf8AoF6N/wCBa/4V/q9UUAf5m/7Ff/Bqt+3/APD79ofw18QPjTaafb6Vol/Be7ra4DNmJw2McccV/pZ6TA1lpNvaN96GJU/75UCroIxg9DxTFURA/wB0UAfFn/BRX9nLV/2tf2NvG/7Puh4F14lsTbR5bbySO/av84TxP/waT/8ABUSDxHdr4a07SZNPWQ+QXul3Fe2RX+qe5BiEidqQMCvnY5oA/wApEf8ABpR/wVgxu/szRs/9fS/4Uf8AEJT/AMFYgMnS9G/8Cl/wr/Vu7b/w4poJQmMcDFAH8nn/AAbnf8EZPj1/wTI8Q+J/H3x6jgh1HX7BbZkt5RIoKtnjFf1h+b8gmQfLTkQyIBKRkelKS6k7cYHagD+TP/g4v/4IxfH3/gpx4v8ACvjn4DxwS3+gWD2yrPKI1yzZ5r+WKy/4NKf+Cqz3kYu9M0dYN4DkXQzjPOOPSv8AVo2gJuXAJpz7Hj2kflQB+RP/AARW/YW8Wf8ABPH9ivTv2fvG20X8F5JdSbG3DMmM81+uh+8Tjj1FRKpRd78k8cVIFl24XG4UAJF5cp+X+GrIjUZ96bCGC4fGfapqAGbBu3UeWv8An/8AXT6KAIvKXNKkYQkjvUlFABRRRQBAIFAxUpQGnUUANVdqhfSnUUUAFVkuFfIUdKs1UKzF8LjFADml2pz1PFf57X/BXj/g2o/bY/aq/bJ8W/tBfs/W1jc2viW+a5k+1ThMAjAwK/0IDndzyp4GKmhVkJTPHagD/KN/4hJf+CsP/QL0b/wLX/Cj/iEl/wCCsP8A0C9G/wDAtf8ACv8AV6ooA/yhf+ISX/grD/0C9G/8C1/wo/4hJf8AgrD/ANAvRv8AwLX/AAr/AFeqKAP8oX/iEl/4Kw/9AvRv/Atf8KlH/Bpd/wAFYFwRpejAjp/pS/4V/q3TcjZ61HtVh5LdqAP4kf8AggH/AMEA/wBqj/gn5+1RD+0X+0TBaW81vazWqrazCRdsgwOBX9ujR7jUW1f9V0FKeDt70Afzz/8ABwh/wS2+Kf8AwU6+B/hrwb8JlibVPD11JdRrK4jUsy7Rk+lfxTv/AMGlH/BWFjxpejfT7Wv+Ff6t2wxtv/iNTRjH3utAH+UV/wAQkv8AwVh/6Bejf+Ba/wCFH/EJL/wVh/6Bejf+Ba/4V/q9UUAf5Qw/4NKv+CsSjH9maN/4FL/hXQeGf+DSj/gqHceI7OPxNp2kR6cZAJzHdLuC98Cv9U3nd5tOVU/1oHWgD4s/4J0/s5ap+yV+xx4I/Z81vH2rw3YrbSYO7kH1r7cCgdKiiRfvjvU1AEZj9P8AP61458dPBN18Sfgx4q+HVp/x8a1pc9mnbmVCo5/GvZ6qY8xtknagD/LY+K3/AAaZf8FI5fHN/c/Dew0yfS5pWeJp7kBsFieRX6Ef8Eh/+Daj9tj9lr9sjwn+0B+0DbWNta+Gb5blPss4ckAYOQK/0IVbDHpt7UnCE+X1NAEixgcelfkR/wAFq/2EPF//AAUK/Yn1H9n3wLtOoT3kV1HufaMx5I5r9b/PWLjrn0p8bY+7yDQB/lM3v/BpP/wVYW6lFrpmjmEOdhN0udueO3pX9UH/AAbmf8EYvjz/AMEx/Efijx/8eY4IdS1+wW2dLeUSKCrZ4xX9YgJRjGOBjjNORDIgEpGR6UASxuJk3DoelOMakYpFySRxgdKloAg8hcYp4jUVJRQA3YtAQA5p1FABRRRQAUUUUAIOppaQdTS0Af/S/v4ooooAKKKKACiiigAqGVQcY69qmooArfvQNnf1oiLucnjHFWaKACiiigAooooAKKKKACiiigAooooAryLgdKDHIU681YooArRxkLg9RTTCeWl+b0q3RQBTih2pg+tXBxxRRQAUUUUAFFFFAEDKf4uaQoCCJBxViigCBBsi6celI3mcMvA9KsUUAVBH8uY+DTpE82MZ7VZooAoeU5KvF8vrVkRrkkDFTUUAVDCeWl+b0psUOyMg96u0UAVhGVHyDFNERKsRwx71booAggjaOMB+TU9FFABRRRQAUUUUAFFFFABRRRQAUUUUAFUxDILgtn5MdKuUUAQCPHyJwBTo021LRQAUUUUAFFFFAEUiMxGDgVAYn27YvlNXKKAINrlQrdfWmCMb8Ec+tWqKAICp7inorg/Mc1JRQAUUUUAVTGesnNKiTByxPy9hVmigCNF/iqSiigAqB4nPCHAqeigCg9su9QnGKtKhByOKlooAqqkcRO1etOiiVFPljGasUUAV5U81M9xUHlOSrxfL61fooAjRFViQMVJRRQAUUUUAFFFFABRRRQAUUUUAIOppaQdTS0Af/9P+/iiiigAooooAKKKKACiiigAooooAKKKKACiiigAooooAKKKKACiiigAooooAKKKKACiiigAooooAKKKKACiiigAooooAKKKKACiiigAooooAKKKKACiiigAooooAKKKKACiiigAooooAKKKKACiiigAooooAKKKKACiiigAooooAKKKKACiiigAooooAKKKKACiiigAooooAKKKKACiiigAooooAKKKKACiiigAooooAKKKKACiiigBB1NLSDqaWgD//1P7+KKKKACiiigAooooAKKKKACiiigAooooAKKKKACiiigAooooAKKKKACiiigAooooAKKKKACiiigAooooAKKKKACiiigAooooAKKKKACiiigAooooAKKKKACiiigAooooAKKKKACiiigAooooAKKKKACiiigAooooAKKKKACiiigAooooAKKKKACiiigAooooAKKKKACiiigAooooAKKKKACiiigAooooAKKKKACiiigAooooAKKKKAEHU0tIOppaAP//V/v4ooooAKKKKACiiigAooooAKKKKACiiigAooooAKKKKACiiigAooooAKKKKACiiigAooooAKKKKACiiigAooooAKKKKACiiigAooooAKKKKACiiigAooooAKKKKACiiigAooooAKKKKACiiigAooooAKKKKACiiigAooooAKKKKACiiigAooooAKKKKACiiigAooooAKKKKACiiigAooooAKKKKACiiigAooooAKKKKACiiigAooooAQdTS0g6mloA//9k=">
          <a:extLst>
            <a:ext uri="{FF2B5EF4-FFF2-40B4-BE49-F238E27FC236}">
              <a16:creationId xmlns:a16="http://schemas.microsoft.com/office/drawing/2014/main" id="{00000000-0008-0000-0100-000001040000}"/>
            </a:ext>
          </a:extLst>
        </xdr:cNvPr>
        <xdr:cNvSpPr>
          <a:spLocks noChangeAspect="1" noChangeArrowheads="1"/>
        </xdr:cNvSpPr>
      </xdr:nvSpPr>
      <xdr:spPr bwMode="auto">
        <a:xfrm>
          <a:off x="7073900" y="894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139700</xdr:colOff>
      <xdr:row>0</xdr:row>
      <xdr:rowOff>63500</xdr:rowOff>
    </xdr:from>
    <xdr:to>
      <xdr:col>14</xdr:col>
      <xdr:colOff>21303</xdr:colOff>
      <xdr:row>2</xdr:row>
      <xdr:rowOff>194128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3D1CF9D-D7D5-4AA9-88B8-04D97F85D4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25100" y="63500"/>
          <a:ext cx="2967703" cy="562428"/>
        </a:xfrm>
        <a:prstGeom prst="rect">
          <a:avLst/>
        </a:prstGeom>
      </xdr:spPr>
    </xdr:pic>
    <xdr:clientData/>
  </xdr:twoCellAnchor>
  <xdr:twoCellAnchor editAs="oneCell">
    <xdr:from>
      <xdr:col>11</xdr:col>
      <xdr:colOff>952501</xdr:colOff>
      <xdr:row>20</xdr:row>
      <xdr:rowOff>326571</xdr:rowOff>
    </xdr:from>
    <xdr:to>
      <xdr:col>13</xdr:col>
      <xdr:colOff>299067</xdr:colOff>
      <xdr:row>24</xdr:row>
      <xdr:rowOff>38464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36024FA-5C88-424C-87A7-C8EA418996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321144" y="6497411"/>
          <a:ext cx="1435263" cy="144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aldo.manzur@mx.multivac.com" TargetMode="External"/><Relationship Id="rId1" Type="http://schemas.openxmlformats.org/officeDocument/2006/relationships/hyperlink" Target="https://multivac.com/mx/es/excluded-from-navigation/terms-and-conditions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multivac.com/mx/es/excluded-from-navigation/terms-and-conditions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X39"/>
  <sheetViews>
    <sheetView tabSelected="1" zoomScale="60" zoomScaleNormal="60" workbookViewId="0">
      <selection activeCell="A23" sqref="A23"/>
    </sheetView>
  </sheetViews>
  <sheetFormatPr baseColWidth="10" defaultColWidth="9.19921875" defaultRowHeight="15.4" x14ac:dyDescent="0.55000000000000004"/>
  <cols>
    <col min="1" max="1" width="1.53125" style="12" customWidth="1"/>
    <col min="2" max="2" width="32" style="12" bestFit="1" customWidth="1"/>
    <col min="3" max="3" width="8.265625" style="12" customWidth="1"/>
    <col min="4" max="4" width="15.59765625" style="12" bestFit="1" customWidth="1"/>
    <col min="5" max="5" width="58.265625" style="12" customWidth="1"/>
    <col min="6" max="6" width="9.19921875" style="12" customWidth="1"/>
    <col min="7" max="7" width="11" style="12" customWidth="1"/>
    <col min="8" max="8" width="14" style="12" customWidth="1"/>
    <col min="9" max="9" width="13.46484375" style="12" customWidth="1"/>
    <col min="10" max="10" width="15" style="12" customWidth="1"/>
    <col min="11" max="11" width="14" style="12" customWidth="1"/>
    <col min="12" max="13" width="14.19921875" style="12" customWidth="1"/>
    <col min="14" max="14" width="1.796875" style="12" customWidth="1"/>
    <col min="15" max="18" width="9.19921875" style="12" customWidth="1"/>
    <col min="19" max="20" width="9.19921875" style="12"/>
    <col min="21" max="21" width="13.73046875" style="12" customWidth="1"/>
    <col min="22" max="22" width="9.19921875" style="12"/>
    <col min="23" max="23" width="11.53125" style="12" bestFit="1" customWidth="1"/>
    <col min="24" max="24" width="12.796875" style="12" bestFit="1" customWidth="1"/>
    <col min="25" max="16384" width="9.19921875" style="12"/>
  </cols>
  <sheetData>
    <row r="1" spans="2:24" s="13" customFormat="1" ht="15" customHeight="1" x14ac:dyDescent="0.9">
      <c r="B1" s="115"/>
      <c r="C1" s="115"/>
      <c r="D1" s="115"/>
      <c r="I1" s="121"/>
      <c r="J1" s="121"/>
      <c r="K1" s="121"/>
      <c r="L1" s="121"/>
      <c r="M1" s="121"/>
    </row>
    <row r="2" spans="2:24" s="13" customFormat="1" ht="15" customHeight="1" x14ac:dyDescent="0.9">
      <c r="B2" s="87"/>
      <c r="C2" s="87"/>
      <c r="D2" s="87"/>
      <c r="I2" s="121"/>
      <c r="J2" s="121"/>
      <c r="K2" s="121"/>
      <c r="L2" s="121"/>
      <c r="M2" s="121"/>
    </row>
    <row r="3" spans="2:24" s="13" customFormat="1" ht="15" customHeight="1" x14ac:dyDescent="0.9">
      <c r="B3" s="65"/>
      <c r="C3" s="66"/>
      <c r="D3" s="66"/>
      <c r="I3" s="121"/>
      <c r="J3" s="121"/>
      <c r="K3" s="121"/>
      <c r="L3" s="121"/>
      <c r="M3" s="121"/>
    </row>
    <row r="4" spans="2:24" x14ac:dyDescent="0.55000000000000004">
      <c r="B4" s="122"/>
      <c r="C4" s="122"/>
      <c r="D4" s="122"/>
      <c r="E4" s="122"/>
      <c r="F4" s="122"/>
      <c r="G4" s="122"/>
      <c r="H4" s="122"/>
      <c r="I4" s="122"/>
      <c r="J4" s="122"/>
      <c r="K4" s="122"/>
      <c r="L4" s="122"/>
      <c r="M4" s="122"/>
    </row>
    <row r="5" spans="2:24" s="17" customFormat="1" ht="12.75" customHeight="1" x14ac:dyDescent="0.7">
      <c r="B5" s="6" t="s">
        <v>62</v>
      </c>
      <c r="C5" s="7"/>
      <c r="D5" s="8"/>
      <c r="E5" s="15"/>
      <c r="F5" s="15"/>
      <c r="G5" s="15"/>
      <c r="H5" s="15"/>
      <c r="J5" s="9" t="s">
        <v>0</v>
      </c>
      <c r="K5" s="116" t="s">
        <v>1</v>
      </c>
      <c r="L5" s="116"/>
      <c r="M5" s="116"/>
      <c r="N5" s="16"/>
    </row>
    <row r="6" spans="2:24" s="17" customFormat="1" ht="12.75" customHeight="1" x14ac:dyDescent="0.7">
      <c r="B6" s="8" t="s">
        <v>14</v>
      </c>
      <c r="C6" s="10"/>
      <c r="D6" s="8"/>
      <c r="E6" s="15"/>
      <c r="F6" s="15"/>
      <c r="G6" s="15"/>
      <c r="H6" s="15"/>
      <c r="J6" s="9" t="s">
        <v>15</v>
      </c>
      <c r="K6" s="117">
        <v>44705</v>
      </c>
      <c r="L6" s="117"/>
      <c r="M6" s="117"/>
      <c r="N6" s="16"/>
    </row>
    <row r="7" spans="2:24" s="20" customFormat="1" ht="30" customHeight="1" thickBot="1" x14ac:dyDescent="0.75">
      <c r="B7" s="11"/>
      <c r="C7" s="11"/>
      <c r="D7" s="11"/>
      <c r="E7" s="18"/>
      <c r="F7" s="18"/>
      <c r="G7" s="18"/>
      <c r="H7" s="18"/>
      <c r="I7" s="18"/>
      <c r="J7" s="18"/>
      <c r="K7" s="123" t="s">
        <v>53</v>
      </c>
      <c r="L7" s="123"/>
      <c r="M7" s="123"/>
      <c r="N7" s="19"/>
    </row>
    <row r="8" spans="2:24" ht="19.5" customHeight="1" thickBot="1" x14ac:dyDescent="0.75">
      <c r="B8" s="186" t="s">
        <v>95</v>
      </c>
      <c r="C8" s="187" t="s">
        <v>96</v>
      </c>
      <c r="D8" s="187"/>
      <c r="E8" s="187"/>
      <c r="F8" s="187"/>
      <c r="G8" s="187"/>
      <c r="H8" s="93"/>
      <c r="I8" s="94" t="s">
        <v>15</v>
      </c>
      <c r="J8" s="94"/>
      <c r="K8" s="188" t="s">
        <v>89</v>
      </c>
      <c r="L8" s="188"/>
      <c r="M8" s="189"/>
    </row>
    <row r="9" spans="2:24" ht="15.75" thickBot="1" x14ac:dyDescent="0.6">
      <c r="M9" s="27"/>
    </row>
    <row r="10" spans="2:24" ht="62.25" customHeight="1" thickBot="1" x14ac:dyDescent="0.6">
      <c r="B10" s="80" t="s">
        <v>16</v>
      </c>
      <c r="C10" s="81" t="s">
        <v>17</v>
      </c>
      <c r="D10" s="81" t="s">
        <v>18</v>
      </c>
      <c r="E10" s="82" t="s">
        <v>19</v>
      </c>
      <c r="F10" s="81" t="s">
        <v>20</v>
      </c>
      <c r="G10" s="81" t="s">
        <v>21</v>
      </c>
      <c r="H10" s="81" t="s">
        <v>34</v>
      </c>
      <c r="I10" s="81" t="s">
        <v>35</v>
      </c>
      <c r="J10" s="81" t="s">
        <v>85</v>
      </c>
      <c r="K10" s="81" t="s">
        <v>86</v>
      </c>
      <c r="L10" s="81" t="s">
        <v>87</v>
      </c>
      <c r="M10" s="83" t="s">
        <v>88</v>
      </c>
      <c r="O10" s="21"/>
      <c r="Q10" s="108"/>
      <c r="R10" s="110" t="s">
        <v>97</v>
      </c>
      <c r="S10" s="110" t="s">
        <v>71</v>
      </c>
      <c r="T10" s="110" t="s">
        <v>98</v>
      </c>
      <c r="U10" s="110" t="s">
        <v>99</v>
      </c>
      <c r="V10" s="110" t="s">
        <v>72</v>
      </c>
      <c r="W10" s="110" t="s">
        <v>73</v>
      </c>
      <c r="X10" s="22"/>
    </row>
    <row r="11" spans="2:24" ht="16.5" x14ac:dyDescent="0.6">
      <c r="B11" s="190" t="s">
        <v>90</v>
      </c>
      <c r="C11" s="192" t="s">
        <v>67</v>
      </c>
      <c r="D11" s="190" t="s">
        <v>75</v>
      </c>
      <c r="E11" s="100" t="s">
        <v>68</v>
      </c>
      <c r="F11" s="192">
        <v>420</v>
      </c>
      <c r="G11" s="192">
        <v>914</v>
      </c>
      <c r="H11" s="102" t="s">
        <v>74</v>
      </c>
      <c r="I11" s="193">
        <v>20000</v>
      </c>
      <c r="J11" s="111" t="s">
        <v>69</v>
      </c>
      <c r="K11" s="104">
        <f>(M11/1000)</f>
        <v>0.20493689999999998</v>
      </c>
      <c r="L11" s="105">
        <f>(K11*G11)</f>
        <v>187.31232659999998</v>
      </c>
      <c r="M11" s="106">
        <f>V11</f>
        <v>204.93689999999998</v>
      </c>
      <c r="O11" s="21"/>
      <c r="Q11" s="108"/>
      <c r="R11" s="194">
        <v>42.43</v>
      </c>
      <c r="S11" s="109">
        <f>100/(F11/1000)</f>
        <v>238.0952380952381</v>
      </c>
      <c r="T11" s="109">
        <f>(R11/S11)</f>
        <v>0.178206</v>
      </c>
      <c r="U11" s="108">
        <f>(T11*1.15)</f>
        <v>0.20493689999999998</v>
      </c>
      <c r="V11" s="108">
        <f>(U11*1000)</f>
        <v>204.93689999999998</v>
      </c>
      <c r="W11" s="108">
        <f>(U11*G11)</f>
        <v>187.31232659999998</v>
      </c>
      <c r="X11" s="23"/>
    </row>
    <row r="12" spans="2:24" ht="16.5" x14ac:dyDescent="0.6">
      <c r="B12" s="103" t="s">
        <v>80</v>
      </c>
      <c r="C12" s="101"/>
      <c r="D12" s="100"/>
      <c r="E12" s="100" t="s">
        <v>70</v>
      </c>
      <c r="F12" s="101"/>
      <c r="G12" s="101"/>
      <c r="H12" s="101"/>
      <c r="I12" s="101"/>
      <c r="J12" s="111"/>
      <c r="K12" s="104"/>
      <c r="L12" s="105"/>
      <c r="M12" s="107"/>
      <c r="Q12" s="108"/>
      <c r="R12" s="108"/>
      <c r="S12" s="109"/>
      <c r="T12" s="109"/>
      <c r="U12" s="108"/>
      <c r="V12" s="108"/>
      <c r="W12" s="108"/>
    </row>
    <row r="13" spans="2:24" ht="16.5" x14ac:dyDescent="0.6">
      <c r="B13" s="191" t="s">
        <v>91</v>
      </c>
      <c r="C13" s="101"/>
      <c r="D13" s="190" t="s">
        <v>83</v>
      </c>
      <c r="E13" s="100" t="s">
        <v>100</v>
      </c>
      <c r="F13" s="101"/>
      <c r="G13" s="101"/>
      <c r="H13" s="101"/>
      <c r="I13" s="101"/>
      <c r="J13" s="111"/>
      <c r="K13" s="112"/>
      <c r="L13" s="113"/>
      <c r="M13" s="107"/>
      <c r="Q13" s="108"/>
      <c r="R13" s="108"/>
      <c r="S13" s="109"/>
      <c r="T13" s="109"/>
      <c r="U13" s="108"/>
      <c r="V13" s="108"/>
      <c r="W13" s="108"/>
    </row>
    <row r="14" spans="2:24" ht="16.5" x14ac:dyDescent="0.6">
      <c r="B14" s="100"/>
      <c r="C14" s="101"/>
      <c r="D14" s="100"/>
      <c r="E14" s="100"/>
      <c r="F14" s="101"/>
      <c r="G14" s="101"/>
      <c r="H14" s="101"/>
      <c r="I14" s="101"/>
      <c r="J14" s="111"/>
      <c r="K14" s="112"/>
      <c r="L14" s="113"/>
      <c r="M14" s="107"/>
      <c r="Q14" s="108"/>
      <c r="R14" s="108"/>
      <c r="S14" s="109"/>
      <c r="T14" s="109"/>
      <c r="U14" s="108"/>
      <c r="V14" s="108"/>
      <c r="W14" s="108"/>
    </row>
    <row r="15" spans="2:24" ht="16.5" x14ac:dyDescent="0.6">
      <c r="B15" s="100" t="s">
        <v>79</v>
      </c>
      <c r="C15" s="101" t="s">
        <v>67</v>
      </c>
      <c r="D15" s="100" t="s">
        <v>75</v>
      </c>
      <c r="E15" s="100" t="s">
        <v>78</v>
      </c>
      <c r="F15" s="101">
        <v>420</v>
      </c>
      <c r="G15" s="101">
        <v>914</v>
      </c>
      <c r="H15" s="102" t="s">
        <v>74</v>
      </c>
      <c r="I15" s="102">
        <v>20000</v>
      </c>
      <c r="J15" s="111" t="s">
        <v>69</v>
      </c>
      <c r="K15" s="104">
        <f>(M15/1000)</f>
        <v>0.22583400000000001</v>
      </c>
      <c r="L15" s="105">
        <f>(K15*G15)</f>
        <v>206.41227600000002</v>
      </c>
      <c r="M15" s="106">
        <f>V15</f>
        <v>225.834</v>
      </c>
      <c r="Q15" s="108"/>
      <c r="R15" s="108">
        <v>53.77</v>
      </c>
      <c r="S15" s="109">
        <f>100/(F15/1000)</f>
        <v>238.0952380952381</v>
      </c>
      <c r="T15" s="109">
        <f>(R15/S15)</f>
        <v>0.22583400000000001</v>
      </c>
      <c r="U15" s="108">
        <f>(T15*1)</f>
        <v>0.22583400000000001</v>
      </c>
      <c r="V15" s="108">
        <f>(U15*1000)</f>
        <v>225.834</v>
      </c>
      <c r="W15" s="108">
        <f>(U15*G15)</f>
        <v>206.41227600000002</v>
      </c>
    </row>
    <row r="16" spans="2:24" ht="16.5" x14ac:dyDescent="0.6">
      <c r="B16" s="103" t="s">
        <v>80</v>
      </c>
      <c r="C16" s="101"/>
      <c r="D16" s="100"/>
      <c r="E16" s="100" t="s">
        <v>70</v>
      </c>
      <c r="F16" s="101"/>
      <c r="G16" s="101"/>
      <c r="H16" s="101"/>
      <c r="I16" s="102"/>
      <c r="J16" s="113"/>
      <c r="K16" s="104"/>
      <c r="L16" s="105"/>
      <c r="M16" s="107"/>
      <c r="Q16" s="108"/>
      <c r="R16" s="108"/>
      <c r="S16" s="109"/>
      <c r="T16" s="109"/>
      <c r="U16" s="108"/>
      <c r="V16" s="108"/>
      <c r="W16" s="108"/>
    </row>
    <row r="17" spans="2:23" ht="16.5" x14ac:dyDescent="0.6">
      <c r="B17" s="114" t="s">
        <v>81</v>
      </c>
      <c r="C17" s="101"/>
      <c r="D17" s="100" t="s">
        <v>84</v>
      </c>
      <c r="E17" s="100" t="s">
        <v>76</v>
      </c>
      <c r="F17" s="101"/>
      <c r="G17" s="101"/>
      <c r="H17" s="101"/>
      <c r="I17" s="101"/>
      <c r="J17" s="111"/>
      <c r="K17" s="112"/>
      <c r="L17" s="113"/>
      <c r="M17" s="107"/>
      <c r="Q17" s="108"/>
      <c r="R17" s="108"/>
      <c r="S17" s="109"/>
      <c r="T17" s="109"/>
      <c r="U17" s="108"/>
      <c r="V17" s="108"/>
      <c r="W17" s="108"/>
    </row>
    <row r="18" spans="2:23" ht="16.5" x14ac:dyDescent="0.6">
      <c r="B18" s="114"/>
      <c r="C18" s="101"/>
      <c r="D18" s="100"/>
      <c r="E18" s="100"/>
      <c r="F18" s="101"/>
      <c r="G18" s="101"/>
      <c r="H18" s="101"/>
      <c r="I18" s="101"/>
      <c r="J18" s="111"/>
      <c r="K18" s="112"/>
      <c r="L18" s="113"/>
      <c r="M18" s="107"/>
      <c r="Q18" s="108"/>
      <c r="R18" s="108"/>
      <c r="S18" s="109"/>
      <c r="T18" s="109"/>
      <c r="U18" s="108"/>
      <c r="V18" s="108"/>
      <c r="W18" s="108"/>
    </row>
    <row r="19" spans="2:23" ht="16.5" x14ac:dyDescent="0.6">
      <c r="B19" s="100" t="s">
        <v>94</v>
      </c>
      <c r="C19" s="101" t="s">
        <v>77</v>
      </c>
      <c r="D19" s="100" t="s">
        <v>75</v>
      </c>
      <c r="E19" s="100" t="s">
        <v>78</v>
      </c>
      <c r="F19" s="101">
        <v>423</v>
      </c>
      <c r="G19" s="101">
        <v>457</v>
      </c>
      <c r="H19" s="102" t="s">
        <v>74</v>
      </c>
      <c r="I19" s="102">
        <v>20000</v>
      </c>
      <c r="J19" s="111" t="s">
        <v>69</v>
      </c>
      <c r="K19" s="104">
        <f>(M19/1000)</f>
        <v>0.39322079999999998</v>
      </c>
      <c r="L19" s="105">
        <f>(K19*G19)</f>
        <v>179.7019056</v>
      </c>
      <c r="M19" s="106">
        <f>V19</f>
        <v>393.2208</v>
      </c>
      <c r="Q19" s="108"/>
      <c r="R19" s="108">
        <v>92.96</v>
      </c>
      <c r="S19" s="109">
        <f>100/(F19/1000)</f>
        <v>236.40661938534279</v>
      </c>
      <c r="T19" s="109">
        <f>(R19/S19)</f>
        <v>0.39322079999999998</v>
      </c>
      <c r="U19" s="108">
        <f>(T19*1)</f>
        <v>0.39322079999999998</v>
      </c>
      <c r="V19" s="108">
        <f>(U19*1000)</f>
        <v>393.2208</v>
      </c>
      <c r="W19" s="108">
        <f>(U19*G19)</f>
        <v>179.7019056</v>
      </c>
    </row>
    <row r="20" spans="2:23" ht="16.5" x14ac:dyDescent="0.6">
      <c r="B20" s="103" t="s">
        <v>80</v>
      </c>
      <c r="C20" s="101"/>
      <c r="D20" s="100"/>
      <c r="E20" s="100" t="s">
        <v>82</v>
      </c>
      <c r="F20" s="101"/>
      <c r="G20" s="101"/>
      <c r="H20" s="101"/>
      <c r="I20" s="102"/>
      <c r="J20" s="113"/>
      <c r="K20" s="104"/>
      <c r="L20" s="105"/>
      <c r="M20" s="107"/>
      <c r="Q20" s="108"/>
      <c r="R20" s="108"/>
      <c r="S20" s="109"/>
      <c r="T20" s="109"/>
      <c r="U20" s="108"/>
      <c r="V20" s="108"/>
      <c r="W20" s="108"/>
    </row>
    <row r="21" spans="2:23" ht="16.5" x14ac:dyDescent="0.6">
      <c r="B21" s="114" t="s">
        <v>91</v>
      </c>
      <c r="C21" s="101"/>
      <c r="D21" s="100" t="s">
        <v>83</v>
      </c>
      <c r="E21" s="100" t="s">
        <v>93</v>
      </c>
      <c r="F21" s="101"/>
      <c r="G21" s="101"/>
      <c r="H21" s="101"/>
      <c r="I21" s="101"/>
      <c r="J21" s="111"/>
      <c r="K21" s="112"/>
      <c r="L21" s="113"/>
      <c r="M21" s="107"/>
      <c r="Q21" s="108"/>
      <c r="R21" s="108"/>
      <c r="S21" s="109"/>
      <c r="T21" s="109"/>
      <c r="U21" s="108"/>
      <c r="V21" s="108"/>
      <c r="W21" s="108"/>
    </row>
    <row r="22" spans="2:23" ht="16.5" x14ac:dyDescent="0.6">
      <c r="B22" s="114"/>
      <c r="C22" s="101"/>
      <c r="D22" s="100"/>
      <c r="E22" s="100"/>
      <c r="F22" s="101"/>
      <c r="G22" s="101"/>
      <c r="H22" s="101"/>
      <c r="I22" s="101"/>
      <c r="J22" s="111"/>
      <c r="K22" s="112"/>
      <c r="L22" s="113"/>
      <c r="M22" s="107"/>
      <c r="Q22" s="108"/>
      <c r="R22" s="108"/>
      <c r="S22" s="109"/>
      <c r="T22" s="109"/>
      <c r="U22" s="108"/>
      <c r="V22" s="108"/>
      <c r="W22" s="108"/>
    </row>
    <row r="23" spans="2:23" ht="16.5" x14ac:dyDescent="0.6">
      <c r="B23" s="100" t="s">
        <v>92</v>
      </c>
      <c r="C23" s="101" t="s">
        <v>77</v>
      </c>
      <c r="D23" s="100" t="s">
        <v>75</v>
      </c>
      <c r="E23" s="100" t="s">
        <v>78</v>
      </c>
      <c r="F23" s="101">
        <v>423</v>
      </c>
      <c r="G23" s="101">
        <v>366</v>
      </c>
      <c r="H23" s="102" t="s">
        <v>74</v>
      </c>
      <c r="I23" s="102">
        <v>20000</v>
      </c>
      <c r="J23" s="111" t="s">
        <v>69</v>
      </c>
      <c r="K23" s="104">
        <f>(M23/1000)</f>
        <v>0.45645930000000001</v>
      </c>
      <c r="L23" s="105">
        <f>(K23*G23)</f>
        <v>167.0641038</v>
      </c>
      <c r="M23" s="106">
        <f>V23</f>
        <v>456.45929999999998</v>
      </c>
      <c r="Q23" s="108"/>
      <c r="R23" s="108">
        <v>107.91</v>
      </c>
      <c r="S23" s="109">
        <f>100/(F23/1000)</f>
        <v>236.40661938534279</v>
      </c>
      <c r="T23" s="109">
        <f>(R23/S23)</f>
        <v>0.45645929999999996</v>
      </c>
      <c r="U23" s="108">
        <f>(T23*1)</f>
        <v>0.45645929999999996</v>
      </c>
      <c r="V23" s="108">
        <f>(U23*1000)</f>
        <v>456.45929999999998</v>
      </c>
      <c r="W23" s="108">
        <f>(U23*G23)</f>
        <v>167.0641038</v>
      </c>
    </row>
    <row r="24" spans="2:23" ht="16.899999999999999" customHeight="1" x14ac:dyDescent="0.6">
      <c r="B24" s="103" t="s">
        <v>80</v>
      </c>
      <c r="C24" s="101"/>
      <c r="D24" s="100"/>
      <c r="E24" s="100" t="s">
        <v>70</v>
      </c>
      <c r="F24" s="101"/>
      <c r="G24" s="101"/>
      <c r="H24" s="101"/>
      <c r="I24" s="102"/>
      <c r="J24" s="113"/>
      <c r="K24" s="104"/>
      <c r="L24" s="105"/>
      <c r="M24" s="107"/>
      <c r="Q24" s="108"/>
      <c r="R24" s="108"/>
      <c r="S24" s="109"/>
      <c r="T24" s="109"/>
      <c r="U24" s="108"/>
      <c r="V24" s="108"/>
      <c r="W24" s="108"/>
    </row>
    <row r="25" spans="2:23" ht="16.5" x14ac:dyDescent="0.6">
      <c r="B25" s="114" t="s">
        <v>81</v>
      </c>
      <c r="C25" s="101"/>
      <c r="D25" s="100" t="s">
        <v>83</v>
      </c>
      <c r="E25" s="100" t="s">
        <v>93</v>
      </c>
      <c r="F25" s="101"/>
      <c r="G25" s="101"/>
      <c r="H25" s="101"/>
      <c r="I25" s="101"/>
      <c r="J25" s="111"/>
      <c r="K25" s="112"/>
      <c r="L25" s="113"/>
      <c r="M25" s="107"/>
      <c r="Q25" s="108"/>
      <c r="R25" s="108"/>
      <c r="S25" s="109"/>
      <c r="T25" s="109"/>
      <c r="U25" s="108"/>
      <c r="V25" s="108"/>
      <c r="W25" s="108"/>
    </row>
    <row r="26" spans="2:23" ht="16.5" x14ac:dyDescent="0.6">
      <c r="B26" s="114"/>
      <c r="C26" s="101"/>
      <c r="D26" s="100"/>
      <c r="E26" s="100"/>
      <c r="F26" s="101"/>
      <c r="G26" s="101"/>
      <c r="H26" s="101"/>
      <c r="I26" s="101"/>
      <c r="J26" s="111"/>
      <c r="K26" s="112"/>
      <c r="L26" s="113"/>
      <c r="M26" s="107"/>
      <c r="Q26" s="108"/>
      <c r="R26" s="108"/>
      <c r="S26" s="109"/>
      <c r="T26" s="109"/>
      <c r="U26" s="108"/>
      <c r="V26" s="108"/>
      <c r="W26" s="108"/>
    </row>
    <row r="27" spans="2:23" ht="16.5" x14ac:dyDescent="0.6">
      <c r="B27" s="100"/>
      <c r="C27" s="101"/>
      <c r="D27" s="100"/>
      <c r="E27" s="100"/>
      <c r="F27" s="101"/>
      <c r="G27" s="101"/>
      <c r="H27" s="101"/>
      <c r="I27" s="102"/>
      <c r="J27" s="111"/>
      <c r="K27" s="104"/>
      <c r="L27" s="105"/>
      <c r="M27" s="106"/>
      <c r="Q27" s="108"/>
      <c r="R27" s="108"/>
      <c r="S27" s="109"/>
      <c r="T27" s="109"/>
      <c r="U27" s="108"/>
      <c r="V27" s="108"/>
      <c r="W27" s="108"/>
    </row>
    <row r="28" spans="2:23" ht="16.5" x14ac:dyDescent="0.6">
      <c r="B28" s="103"/>
      <c r="C28" s="101"/>
      <c r="D28" s="100"/>
      <c r="E28" s="100"/>
      <c r="F28" s="101"/>
      <c r="G28" s="101"/>
      <c r="H28" s="101"/>
      <c r="I28" s="102"/>
      <c r="J28" s="111"/>
      <c r="K28" s="104"/>
      <c r="L28" s="105"/>
      <c r="M28" s="106"/>
      <c r="Q28" s="108"/>
      <c r="R28" s="108"/>
      <c r="S28" s="109"/>
      <c r="T28" s="109"/>
      <c r="U28" s="108"/>
      <c r="V28" s="108"/>
      <c r="W28" s="108"/>
    </row>
    <row r="29" spans="2:23" ht="16.5" x14ac:dyDescent="0.6">
      <c r="B29" s="114"/>
      <c r="C29" s="101"/>
      <c r="D29" s="100"/>
      <c r="E29" s="100"/>
      <c r="F29" s="101"/>
      <c r="G29" s="101"/>
      <c r="H29" s="101"/>
      <c r="I29" s="102"/>
      <c r="J29" s="111"/>
      <c r="K29" s="104"/>
      <c r="L29" s="105"/>
      <c r="M29" s="106"/>
      <c r="Q29" s="108"/>
      <c r="R29" s="108"/>
      <c r="S29" s="109"/>
      <c r="T29" s="109"/>
      <c r="U29" s="108"/>
      <c r="V29" s="108"/>
      <c r="W29" s="108"/>
    </row>
    <row r="30" spans="2:23" ht="16.5" x14ac:dyDescent="0.6">
      <c r="B30" s="114"/>
      <c r="C30" s="101"/>
      <c r="D30" s="100"/>
      <c r="E30" s="100"/>
      <c r="F30" s="101"/>
      <c r="G30" s="101"/>
      <c r="H30" s="101"/>
      <c r="I30" s="101"/>
      <c r="J30" s="111"/>
      <c r="K30" s="112"/>
      <c r="L30" s="113"/>
      <c r="M30" s="107"/>
      <c r="Q30" s="108"/>
      <c r="R30" s="108"/>
      <c r="S30" s="109"/>
      <c r="T30" s="109"/>
      <c r="U30" s="108"/>
      <c r="V30" s="108"/>
      <c r="W30" s="108"/>
    </row>
    <row r="31" spans="2:23" ht="16.899999999999999" thickBot="1" x14ac:dyDescent="0.65">
      <c r="B31" s="118"/>
      <c r="C31" s="119"/>
      <c r="D31" s="119"/>
      <c r="E31" s="119"/>
      <c r="F31" s="119"/>
      <c r="G31" s="119"/>
      <c r="H31" s="119"/>
      <c r="I31" s="119"/>
      <c r="J31" s="119"/>
      <c r="K31" s="120"/>
      <c r="L31" s="62"/>
      <c r="M31" s="63"/>
    </row>
    <row r="32" spans="2:23" ht="16.5" customHeight="1" x14ac:dyDescent="0.6">
      <c r="B32" s="130" t="s">
        <v>101</v>
      </c>
      <c r="C32" s="131"/>
      <c r="D32" s="131"/>
      <c r="E32" s="131"/>
      <c r="F32" s="131"/>
      <c r="G32" s="131"/>
      <c r="H32" s="131"/>
      <c r="I32" s="132"/>
      <c r="J32" s="148" t="s">
        <v>22</v>
      </c>
      <c r="K32" s="149"/>
      <c r="L32" s="149"/>
      <c r="M32" s="150"/>
      <c r="N32" s="3"/>
    </row>
    <row r="33" spans="2:14" ht="16.5" x14ac:dyDescent="0.6">
      <c r="B33" s="133"/>
      <c r="C33" s="134"/>
      <c r="D33" s="134"/>
      <c r="E33" s="134"/>
      <c r="F33" s="134"/>
      <c r="G33" s="134"/>
      <c r="H33" s="134"/>
      <c r="I33" s="135"/>
      <c r="J33" s="145" t="s">
        <v>64</v>
      </c>
      <c r="K33" s="146"/>
      <c r="L33" s="146"/>
      <c r="M33" s="147"/>
      <c r="N33" s="3"/>
    </row>
    <row r="34" spans="2:14" ht="21" customHeight="1" x14ac:dyDescent="0.6">
      <c r="B34" s="133"/>
      <c r="C34" s="134"/>
      <c r="D34" s="134"/>
      <c r="E34" s="134"/>
      <c r="F34" s="134"/>
      <c r="G34" s="134"/>
      <c r="H34" s="134"/>
      <c r="I34" s="135"/>
      <c r="J34" s="142" t="s">
        <v>65</v>
      </c>
      <c r="K34" s="143"/>
      <c r="L34" s="143"/>
      <c r="M34" s="144"/>
      <c r="N34" s="4"/>
    </row>
    <row r="35" spans="2:14" ht="16.899999999999999" thickBot="1" x14ac:dyDescent="0.65">
      <c r="B35" s="133"/>
      <c r="C35" s="134"/>
      <c r="D35" s="134"/>
      <c r="E35" s="134"/>
      <c r="F35" s="134"/>
      <c r="G35" s="134"/>
      <c r="H35" s="134"/>
      <c r="I35" s="135"/>
      <c r="J35" s="139" t="s">
        <v>66</v>
      </c>
      <c r="K35" s="140"/>
      <c r="L35" s="140"/>
      <c r="M35" s="141"/>
      <c r="N35" s="4"/>
    </row>
    <row r="36" spans="2:14" ht="28.5" customHeight="1" x14ac:dyDescent="0.6">
      <c r="B36" s="127" t="s">
        <v>23</v>
      </c>
      <c r="C36" s="128"/>
      <c r="D36" s="128"/>
      <c r="E36" s="128"/>
      <c r="F36" s="128"/>
      <c r="G36" s="128"/>
      <c r="H36" s="128"/>
      <c r="I36" s="129"/>
      <c r="J36" s="60"/>
      <c r="K36" s="48"/>
      <c r="L36" s="48"/>
      <c r="M36" s="49"/>
      <c r="N36" s="4"/>
    </row>
    <row r="37" spans="2:14" ht="17.25" customHeight="1" x14ac:dyDescent="0.6">
      <c r="B37" s="98" t="s">
        <v>63</v>
      </c>
      <c r="C37" s="61"/>
      <c r="D37" s="61"/>
      <c r="E37" s="61"/>
      <c r="F37" s="61"/>
      <c r="G37" s="61"/>
      <c r="H37" s="61"/>
      <c r="I37" s="86"/>
      <c r="J37" s="61"/>
      <c r="K37" s="24"/>
      <c r="L37" s="24"/>
      <c r="M37" s="28"/>
      <c r="N37" s="4"/>
    </row>
    <row r="38" spans="2:14" ht="46.05" customHeight="1" x14ac:dyDescent="0.6">
      <c r="B38" s="136" t="s">
        <v>45</v>
      </c>
      <c r="C38" s="137"/>
      <c r="D38" s="137"/>
      <c r="E38" s="137"/>
      <c r="F38" s="137"/>
      <c r="G38" s="137"/>
      <c r="H38" s="137"/>
      <c r="I38" s="138"/>
      <c r="J38" s="67"/>
      <c r="K38" s="67"/>
      <c r="L38" s="67"/>
      <c r="M38" s="28"/>
      <c r="N38" s="4"/>
    </row>
    <row r="39" spans="2:14" ht="39.75" customHeight="1" thickBot="1" x14ac:dyDescent="0.6">
      <c r="B39" s="124" t="s">
        <v>40</v>
      </c>
      <c r="C39" s="125"/>
      <c r="D39" s="125"/>
      <c r="E39" s="125"/>
      <c r="F39" s="125"/>
      <c r="G39" s="125"/>
      <c r="H39" s="125"/>
      <c r="I39" s="126"/>
      <c r="J39" s="59"/>
      <c r="K39" s="25"/>
      <c r="L39" s="25"/>
      <c r="M39" s="26"/>
      <c r="N39" s="5"/>
    </row>
  </sheetData>
  <mergeCells count="17">
    <mergeCell ref="B39:I39"/>
    <mergeCell ref="B36:I36"/>
    <mergeCell ref="B32:I35"/>
    <mergeCell ref="B38:I38"/>
    <mergeCell ref="J35:M35"/>
    <mergeCell ref="J34:M34"/>
    <mergeCell ref="J33:M33"/>
    <mergeCell ref="J32:M32"/>
    <mergeCell ref="B1:D1"/>
    <mergeCell ref="K5:M5"/>
    <mergeCell ref="K6:M6"/>
    <mergeCell ref="C8:G8"/>
    <mergeCell ref="B31:K31"/>
    <mergeCell ref="I1:M3"/>
    <mergeCell ref="B4:M4"/>
    <mergeCell ref="K8:M8"/>
    <mergeCell ref="K7:M7"/>
  </mergeCells>
  <hyperlinks>
    <hyperlink ref="B37" r:id="rId1" display="https://multivac.com/mx/es/excluded-from-navigation/terms-and-conditions" xr:uid="{1112D5C9-D2A8-451C-828C-6EDECD25C984}"/>
    <hyperlink ref="J34" r:id="rId2" xr:uid="{D338043D-AA59-4F34-9B3A-C27E080A1250}"/>
  </hyperlinks>
  <pageMargins left="0.7" right="0.7" top="0.75" bottom="0.75" header="0.3" footer="0.3"/>
  <pageSetup scale="55" orientation="landscape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O30"/>
  <sheetViews>
    <sheetView zoomScale="70" zoomScaleNormal="70" workbookViewId="0">
      <selection activeCell="C27" sqref="C27"/>
    </sheetView>
  </sheetViews>
  <sheetFormatPr baseColWidth="10" defaultColWidth="9.19921875" defaultRowHeight="16.5" x14ac:dyDescent="0.6"/>
  <cols>
    <col min="1" max="1" width="1.53125" style="20" customWidth="1"/>
    <col min="2" max="2" width="25" style="43" customWidth="1"/>
    <col min="3" max="3" width="12.46484375" style="20" customWidth="1"/>
    <col min="4" max="4" width="9.53125" style="20" customWidth="1"/>
    <col min="5" max="5" width="12.46484375" style="20" customWidth="1"/>
    <col min="6" max="6" width="8.46484375" style="20" customWidth="1"/>
    <col min="7" max="8" width="12.46484375" style="20" customWidth="1"/>
    <col min="9" max="9" width="14.73046875" style="20" customWidth="1"/>
    <col min="10" max="10" width="15.73046875" style="20" customWidth="1"/>
    <col min="11" max="11" width="20.19921875" style="20" customWidth="1"/>
    <col min="12" max="12" width="16.19921875" style="20" customWidth="1"/>
    <col min="13" max="13" width="13" style="20" customWidth="1"/>
    <col min="14" max="14" width="14.796875" style="20" customWidth="1"/>
    <col min="15" max="208" width="9.19921875" style="20"/>
    <col min="209" max="209" width="15.265625" style="20" customWidth="1"/>
    <col min="210" max="210" width="8.265625" style="20" customWidth="1"/>
    <col min="211" max="211" width="52.46484375" style="20" customWidth="1"/>
    <col min="212" max="212" width="9.19921875" style="20"/>
    <col min="213" max="213" width="11.796875" style="20" customWidth="1"/>
    <col min="214" max="214" width="9.73046875" style="20" customWidth="1"/>
    <col min="215" max="217" width="10.53125" style="20" customWidth="1"/>
    <col min="218" max="218" width="10.73046875" style="20" customWidth="1"/>
    <col min="219" max="219" width="3.46484375" style="20" customWidth="1"/>
    <col min="220" max="220" width="11.19921875" style="20" customWidth="1"/>
    <col min="221" max="225" width="9.19921875" style="20"/>
    <col min="226" max="226" width="11.19921875" style="20" customWidth="1"/>
    <col min="227" max="227" width="11.53125" style="20" customWidth="1"/>
    <col min="228" max="228" width="11.265625" style="20" customWidth="1"/>
    <col min="229" max="229" width="9.19921875" style="20" customWidth="1"/>
    <col min="230" max="230" width="2.265625" style="20" customWidth="1"/>
    <col min="231" max="464" width="9.19921875" style="20"/>
    <col min="465" max="465" width="15.265625" style="20" customWidth="1"/>
    <col min="466" max="466" width="8.265625" style="20" customWidth="1"/>
    <col min="467" max="467" width="52.46484375" style="20" customWidth="1"/>
    <col min="468" max="468" width="9.19921875" style="20"/>
    <col min="469" max="469" width="11.796875" style="20" customWidth="1"/>
    <col min="470" max="470" width="9.73046875" style="20" customWidth="1"/>
    <col min="471" max="473" width="10.53125" style="20" customWidth="1"/>
    <col min="474" max="474" width="10.73046875" style="20" customWidth="1"/>
    <col min="475" max="475" width="3.46484375" style="20" customWidth="1"/>
    <col min="476" max="476" width="11.19921875" style="20" customWidth="1"/>
    <col min="477" max="481" width="9.19921875" style="20"/>
    <col min="482" max="482" width="11.19921875" style="20" customWidth="1"/>
    <col min="483" max="483" width="11.53125" style="20" customWidth="1"/>
    <col min="484" max="484" width="11.265625" style="20" customWidth="1"/>
    <col min="485" max="485" width="9.19921875" style="20" customWidth="1"/>
    <col min="486" max="486" width="2.265625" style="20" customWidth="1"/>
    <col min="487" max="720" width="9.19921875" style="20"/>
    <col min="721" max="721" width="15.265625" style="20" customWidth="1"/>
    <col min="722" max="722" width="8.265625" style="20" customWidth="1"/>
    <col min="723" max="723" width="52.46484375" style="20" customWidth="1"/>
    <col min="724" max="724" width="9.19921875" style="20"/>
    <col min="725" max="725" width="11.796875" style="20" customWidth="1"/>
    <col min="726" max="726" width="9.73046875" style="20" customWidth="1"/>
    <col min="727" max="729" width="10.53125" style="20" customWidth="1"/>
    <col min="730" max="730" width="10.73046875" style="20" customWidth="1"/>
    <col min="731" max="731" width="3.46484375" style="20" customWidth="1"/>
    <col min="732" max="732" width="11.19921875" style="20" customWidth="1"/>
    <col min="733" max="737" width="9.19921875" style="20"/>
    <col min="738" max="738" width="11.19921875" style="20" customWidth="1"/>
    <col min="739" max="739" width="11.53125" style="20" customWidth="1"/>
    <col min="740" max="740" width="11.265625" style="20" customWidth="1"/>
    <col min="741" max="741" width="9.19921875" style="20" customWidth="1"/>
    <col min="742" max="742" width="2.265625" style="20" customWidth="1"/>
    <col min="743" max="976" width="9.19921875" style="20"/>
    <col min="977" max="977" width="15.265625" style="20" customWidth="1"/>
    <col min="978" max="978" width="8.265625" style="20" customWidth="1"/>
    <col min="979" max="979" width="52.46484375" style="20" customWidth="1"/>
    <col min="980" max="980" width="9.19921875" style="20"/>
    <col min="981" max="981" width="11.796875" style="20" customWidth="1"/>
    <col min="982" max="982" width="9.73046875" style="20" customWidth="1"/>
    <col min="983" max="985" width="10.53125" style="20" customWidth="1"/>
    <col min="986" max="986" width="10.73046875" style="20" customWidth="1"/>
    <col min="987" max="987" width="3.46484375" style="20" customWidth="1"/>
    <col min="988" max="988" width="11.19921875" style="20" customWidth="1"/>
    <col min="989" max="993" width="9.19921875" style="20"/>
    <col min="994" max="994" width="11.19921875" style="20" customWidth="1"/>
    <col min="995" max="995" width="11.53125" style="20" customWidth="1"/>
    <col min="996" max="996" width="11.265625" style="20" customWidth="1"/>
    <col min="997" max="997" width="9.19921875" style="20" customWidth="1"/>
    <col min="998" max="998" width="2.265625" style="20" customWidth="1"/>
    <col min="999" max="1232" width="9.19921875" style="20"/>
    <col min="1233" max="1233" width="15.265625" style="20" customWidth="1"/>
    <col min="1234" max="1234" width="8.265625" style="20" customWidth="1"/>
    <col min="1235" max="1235" width="52.46484375" style="20" customWidth="1"/>
    <col min="1236" max="1236" width="9.19921875" style="20"/>
    <col min="1237" max="1237" width="11.796875" style="20" customWidth="1"/>
    <col min="1238" max="1238" width="9.73046875" style="20" customWidth="1"/>
    <col min="1239" max="1241" width="10.53125" style="20" customWidth="1"/>
    <col min="1242" max="1242" width="10.73046875" style="20" customWidth="1"/>
    <col min="1243" max="1243" width="3.46484375" style="20" customWidth="1"/>
    <col min="1244" max="1244" width="11.19921875" style="20" customWidth="1"/>
    <col min="1245" max="1249" width="9.19921875" style="20"/>
    <col min="1250" max="1250" width="11.19921875" style="20" customWidth="1"/>
    <col min="1251" max="1251" width="11.53125" style="20" customWidth="1"/>
    <col min="1252" max="1252" width="11.265625" style="20" customWidth="1"/>
    <col min="1253" max="1253" width="9.19921875" style="20" customWidth="1"/>
    <col min="1254" max="1254" width="2.265625" style="20" customWidth="1"/>
    <col min="1255" max="1488" width="9.19921875" style="20"/>
    <col min="1489" max="1489" width="15.265625" style="20" customWidth="1"/>
    <col min="1490" max="1490" width="8.265625" style="20" customWidth="1"/>
    <col min="1491" max="1491" width="52.46484375" style="20" customWidth="1"/>
    <col min="1492" max="1492" width="9.19921875" style="20"/>
    <col min="1493" max="1493" width="11.796875" style="20" customWidth="1"/>
    <col min="1494" max="1494" width="9.73046875" style="20" customWidth="1"/>
    <col min="1495" max="1497" width="10.53125" style="20" customWidth="1"/>
    <col min="1498" max="1498" width="10.73046875" style="20" customWidth="1"/>
    <col min="1499" max="1499" width="3.46484375" style="20" customWidth="1"/>
    <col min="1500" max="1500" width="11.19921875" style="20" customWidth="1"/>
    <col min="1501" max="1505" width="9.19921875" style="20"/>
    <col min="1506" max="1506" width="11.19921875" style="20" customWidth="1"/>
    <col min="1507" max="1507" width="11.53125" style="20" customWidth="1"/>
    <col min="1508" max="1508" width="11.265625" style="20" customWidth="1"/>
    <col min="1509" max="1509" width="9.19921875" style="20" customWidth="1"/>
    <col min="1510" max="1510" width="2.265625" style="20" customWidth="1"/>
    <col min="1511" max="1744" width="9.19921875" style="20"/>
    <col min="1745" max="1745" width="15.265625" style="20" customWidth="1"/>
    <col min="1746" max="1746" width="8.265625" style="20" customWidth="1"/>
    <col min="1747" max="1747" width="52.46484375" style="20" customWidth="1"/>
    <col min="1748" max="1748" width="9.19921875" style="20"/>
    <col min="1749" max="1749" width="11.796875" style="20" customWidth="1"/>
    <col min="1750" max="1750" width="9.73046875" style="20" customWidth="1"/>
    <col min="1751" max="1753" width="10.53125" style="20" customWidth="1"/>
    <col min="1754" max="1754" width="10.73046875" style="20" customWidth="1"/>
    <col min="1755" max="1755" width="3.46484375" style="20" customWidth="1"/>
    <col min="1756" max="1756" width="11.19921875" style="20" customWidth="1"/>
    <col min="1757" max="1761" width="9.19921875" style="20"/>
    <col min="1762" max="1762" width="11.19921875" style="20" customWidth="1"/>
    <col min="1763" max="1763" width="11.53125" style="20" customWidth="1"/>
    <col min="1764" max="1764" width="11.265625" style="20" customWidth="1"/>
    <col min="1765" max="1765" width="9.19921875" style="20" customWidth="1"/>
    <col min="1766" max="1766" width="2.265625" style="20" customWidth="1"/>
    <col min="1767" max="2000" width="9.19921875" style="20"/>
    <col min="2001" max="2001" width="15.265625" style="20" customWidth="1"/>
    <col min="2002" max="2002" width="8.265625" style="20" customWidth="1"/>
    <col min="2003" max="2003" width="52.46484375" style="20" customWidth="1"/>
    <col min="2004" max="2004" width="9.19921875" style="20"/>
    <col min="2005" max="2005" width="11.796875" style="20" customWidth="1"/>
    <col min="2006" max="2006" width="9.73046875" style="20" customWidth="1"/>
    <col min="2007" max="2009" width="10.53125" style="20" customWidth="1"/>
    <col min="2010" max="2010" width="10.73046875" style="20" customWidth="1"/>
    <col min="2011" max="2011" width="3.46484375" style="20" customWidth="1"/>
    <col min="2012" max="2012" width="11.19921875" style="20" customWidth="1"/>
    <col min="2013" max="2017" width="9.19921875" style="20"/>
    <col min="2018" max="2018" width="11.19921875" style="20" customWidth="1"/>
    <col min="2019" max="2019" width="11.53125" style="20" customWidth="1"/>
    <col min="2020" max="2020" width="11.265625" style="20" customWidth="1"/>
    <col min="2021" max="2021" width="9.19921875" style="20" customWidth="1"/>
    <col min="2022" max="2022" width="2.265625" style="20" customWidth="1"/>
    <col min="2023" max="2256" width="9.19921875" style="20"/>
    <col min="2257" max="2257" width="15.265625" style="20" customWidth="1"/>
    <col min="2258" max="2258" width="8.265625" style="20" customWidth="1"/>
    <col min="2259" max="2259" width="52.46484375" style="20" customWidth="1"/>
    <col min="2260" max="2260" width="9.19921875" style="20"/>
    <col min="2261" max="2261" width="11.796875" style="20" customWidth="1"/>
    <col min="2262" max="2262" width="9.73046875" style="20" customWidth="1"/>
    <col min="2263" max="2265" width="10.53125" style="20" customWidth="1"/>
    <col min="2266" max="2266" width="10.73046875" style="20" customWidth="1"/>
    <col min="2267" max="2267" width="3.46484375" style="20" customWidth="1"/>
    <col min="2268" max="2268" width="11.19921875" style="20" customWidth="1"/>
    <col min="2269" max="2273" width="9.19921875" style="20"/>
    <col min="2274" max="2274" width="11.19921875" style="20" customWidth="1"/>
    <col min="2275" max="2275" width="11.53125" style="20" customWidth="1"/>
    <col min="2276" max="2276" width="11.265625" style="20" customWidth="1"/>
    <col min="2277" max="2277" width="9.19921875" style="20" customWidth="1"/>
    <col min="2278" max="2278" width="2.265625" style="20" customWidth="1"/>
    <col min="2279" max="2512" width="9.19921875" style="20"/>
    <col min="2513" max="2513" width="15.265625" style="20" customWidth="1"/>
    <col min="2514" max="2514" width="8.265625" style="20" customWidth="1"/>
    <col min="2515" max="2515" width="52.46484375" style="20" customWidth="1"/>
    <col min="2516" max="2516" width="9.19921875" style="20"/>
    <col min="2517" max="2517" width="11.796875" style="20" customWidth="1"/>
    <col min="2518" max="2518" width="9.73046875" style="20" customWidth="1"/>
    <col min="2519" max="2521" width="10.53125" style="20" customWidth="1"/>
    <col min="2522" max="2522" width="10.73046875" style="20" customWidth="1"/>
    <col min="2523" max="2523" width="3.46484375" style="20" customWidth="1"/>
    <col min="2524" max="2524" width="11.19921875" style="20" customWidth="1"/>
    <col min="2525" max="2529" width="9.19921875" style="20"/>
    <col min="2530" max="2530" width="11.19921875" style="20" customWidth="1"/>
    <col min="2531" max="2531" width="11.53125" style="20" customWidth="1"/>
    <col min="2532" max="2532" width="11.265625" style="20" customWidth="1"/>
    <col min="2533" max="2533" width="9.19921875" style="20" customWidth="1"/>
    <col min="2534" max="2534" width="2.265625" style="20" customWidth="1"/>
    <col min="2535" max="2768" width="9.19921875" style="20"/>
    <col min="2769" max="2769" width="15.265625" style="20" customWidth="1"/>
    <col min="2770" max="2770" width="8.265625" style="20" customWidth="1"/>
    <col min="2771" max="2771" width="52.46484375" style="20" customWidth="1"/>
    <col min="2772" max="2772" width="9.19921875" style="20"/>
    <col min="2773" max="2773" width="11.796875" style="20" customWidth="1"/>
    <col min="2774" max="2774" width="9.73046875" style="20" customWidth="1"/>
    <col min="2775" max="2777" width="10.53125" style="20" customWidth="1"/>
    <col min="2778" max="2778" width="10.73046875" style="20" customWidth="1"/>
    <col min="2779" max="2779" width="3.46484375" style="20" customWidth="1"/>
    <col min="2780" max="2780" width="11.19921875" style="20" customWidth="1"/>
    <col min="2781" max="2785" width="9.19921875" style="20"/>
    <col min="2786" max="2786" width="11.19921875" style="20" customWidth="1"/>
    <col min="2787" max="2787" width="11.53125" style="20" customWidth="1"/>
    <col min="2788" max="2788" width="11.265625" style="20" customWidth="1"/>
    <col min="2789" max="2789" width="9.19921875" style="20" customWidth="1"/>
    <col min="2790" max="2790" width="2.265625" style="20" customWidth="1"/>
    <col min="2791" max="3024" width="9.19921875" style="20"/>
    <col min="3025" max="3025" width="15.265625" style="20" customWidth="1"/>
    <col min="3026" max="3026" width="8.265625" style="20" customWidth="1"/>
    <col min="3027" max="3027" width="52.46484375" style="20" customWidth="1"/>
    <col min="3028" max="3028" width="9.19921875" style="20"/>
    <col min="3029" max="3029" width="11.796875" style="20" customWidth="1"/>
    <col min="3030" max="3030" width="9.73046875" style="20" customWidth="1"/>
    <col min="3031" max="3033" width="10.53125" style="20" customWidth="1"/>
    <col min="3034" max="3034" width="10.73046875" style="20" customWidth="1"/>
    <col min="3035" max="3035" width="3.46484375" style="20" customWidth="1"/>
    <col min="3036" max="3036" width="11.19921875" style="20" customWidth="1"/>
    <col min="3037" max="3041" width="9.19921875" style="20"/>
    <col min="3042" max="3042" width="11.19921875" style="20" customWidth="1"/>
    <col min="3043" max="3043" width="11.53125" style="20" customWidth="1"/>
    <col min="3044" max="3044" width="11.265625" style="20" customWidth="1"/>
    <col min="3045" max="3045" width="9.19921875" style="20" customWidth="1"/>
    <col min="3046" max="3046" width="2.265625" style="20" customWidth="1"/>
    <col min="3047" max="3280" width="9.19921875" style="20"/>
    <col min="3281" max="3281" width="15.265625" style="20" customWidth="1"/>
    <col min="3282" max="3282" width="8.265625" style="20" customWidth="1"/>
    <col min="3283" max="3283" width="52.46484375" style="20" customWidth="1"/>
    <col min="3284" max="3284" width="9.19921875" style="20"/>
    <col min="3285" max="3285" width="11.796875" style="20" customWidth="1"/>
    <col min="3286" max="3286" width="9.73046875" style="20" customWidth="1"/>
    <col min="3287" max="3289" width="10.53125" style="20" customWidth="1"/>
    <col min="3290" max="3290" width="10.73046875" style="20" customWidth="1"/>
    <col min="3291" max="3291" width="3.46484375" style="20" customWidth="1"/>
    <col min="3292" max="3292" width="11.19921875" style="20" customWidth="1"/>
    <col min="3293" max="3297" width="9.19921875" style="20"/>
    <col min="3298" max="3298" width="11.19921875" style="20" customWidth="1"/>
    <col min="3299" max="3299" width="11.53125" style="20" customWidth="1"/>
    <col min="3300" max="3300" width="11.265625" style="20" customWidth="1"/>
    <col min="3301" max="3301" width="9.19921875" style="20" customWidth="1"/>
    <col min="3302" max="3302" width="2.265625" style="20" customWidth="1"/>
    <col min="3303" max="3536" width="9.19921875" style="20"/>
    <col min="3537" max="3537" width="15.265625" style="20" customWidth="1"/>
    <col min="3538" max="3538" width="8.265625" style="20" customWidth="1"/>
    <col min="3539" max="3539" width="52.46484375" style="20" customWidth="1"/>
    <col min="3540" max="3540" width="9.19921875" style="20"/>
    <col min="3541" max="3541" width="11.796875" style="20" customWidth="1"/>
    <col min="3542" max="3542" width="9.73046875" style="20" customWidth="1"/>
    <col min="3543" max="3545" width="10.53125" style="20" customWidth="1"/>
    <col min="3546" max="3546" width="10.73046875" style="20" customWidth="1"/>
    <col min="3547" max="3547" width="3.46484375" style="20" customWidth="1"/>
    <col min="3548" max="3548" width="11.19921875" style="20" customWidth="1"/>
    <col min="3549" max="3553" width="9.19921875" style="20"/>
    <col min="3554" max="3554" width="11.19921875" style="20" customWidth="1"/>
    <col min="3555" max="3555" width="11.53125" style="20" customWidth="1"/>
    <col min="3556" max="3556" width="11.265625" style="20" customWidth="1"/>
    <col min="3557" max="3557" width="9.19921875" style="20" customWidth="1"/>
    <col min="3558" max="3558" width="2.265625" style="20" customWidth="1"/>
    <col min="3559" max="3792" width="9.19921875" style="20"/>
    <col min="3793" max="3793" width="15.265625" style="20" customWidth="1"/>
    <col min="3794" max="3794" width="8.265625" style="20" customWidth="1"/>
    <col min="3795" max="3795" width="52.46484375" style="20" customWidth="1"/>
    <col min="3796" max="3796" width="9.19921875" style="20"/>
    <col min="3797" max="3797" width="11.796875" style="20" customWidth="1"/>
    <col min="3798" max="3798" width="9.73046875" style="20" customWidth="1"/>
    <col min="3799" max="3801" width="10.53125" style="20" customWidth="1"/>
    <col min="3802" max="3802" width="10.73046875" style="20" customWidth="1"/>
    <col min="3803" max="3803" width="3.46484375" style="20" customWidth="1"/>
    <col min="3804" max="3804" width="11.19921875" style="20" customWidth="1"/>
    <col min="3805" max="3809" width="9.19921875" style="20"/>
    <col min="3810" max="3810" width="11.19921875" style="20" customWidth="1"/>
    <col min="3811" max="3811" width="11.53125" style="20" customWidth="1"/>
    <col min="3812" max="3812" width="11.265625" style="20" customWidth="1"/>
    <col min="3813" max="3813" width="9.19921875" style="20" customWidth="1"/>
    <col min="3814" max="3814" width="2.265625" style="20" customWidth="1"/>
    <col min="3815" max="4048" width="9.19921875" style="20"/>
    <col min="4049" max="4049" width="15.265625" style="20" customWidth="1"/>
    <col min="4050" max="4050" width="8.265625" style="20" customWidth="1"/>
    <col min="4051" max="4051" width="52.46484375" style="20" customWidth="1"/>
    <col min="4052" max="4052" width="9.19921875" style="20"/>
    <col min="4053" max="4053" width="11.796875" style="20" customWidth="1"/>
    <col min="4054" max="4054" width="9.73046875" style="20" customWidth="1"/>
    <col min="4055" max="4057" width="10.53125" style="20" customWidth="1"/>
    <col min="4058" max="4058" width="10.73046875" style="20" customWidth="1"/>
    <col min="4059" max="4059" width="3.46484375" style="20" customWidth="1"/>
    <col min="4060" max="4060" width="11.19921875" style="20" customWidth="1"/>
    <col min="4061" max="4065" width="9.19921875" style="20"/>
    <col min="4066" max="4066" width="11.19921875" style="20" customWidth="1"/>
    <col min="4067" max="4067" width="11.53125" style="20" customWidth="1"/>
    <col min="4068" max="4068" width="11.265625" style="20" customWidth="1"/>
    <col min="4069" max="4069" width="9.19921875" style="20" customWidth="1"/>
    <col min="4070" max="4070" width="2.265625" style="20" customWidth="1"/>
    <col min="4071" max="4304" width="9.19921875" style="20"/>
    <col min="4305" max="4305" width="15.265625" style="20" customWidth="1"/>
    <col min="4306" max="4306" width="8.265625" style="20" customWidth="1"/>
    <col min="4307" max="4307" width="52.46484375" style="20" customWidth="1"/>
    <col min="4308" max="4308" width="9.19921875" style="20"/>
    <col min="4309" max="4309" width="11.796875" style="20" customWidth="1"/>
    <col min="4310" max="4310" width="9.73046875" style="20" customWidth="1"/>
    <col min="4311" max="4313" width="10.53125" style="20" customWidth="1"/>
    <col min="4314" max="4314" width="10.73046875" style="20" customWidth="1"/>
    <col min="4315" max="4315" width="3.46484375" style="20" customWidth="1"/>
    <col min="4316" max="4316" width="11.19921875" style="20" customWidth="1"/>
    <col min="4317" max="4321" width="9.19921875" style="20"/>
    <col min="4322" max="4322" width="11.19921875" style="20" customWidth="1"/>
    <col min="4323" max="4323" width="11.53125" style="20" customWidth="1"/>
    <col min="4324" max="4324" width="11.265625" style="20" customWidth="1"/>
    <col min="4325" max="4325" width="9.19921875" style="20" customWidth="1"/>
    <col min="4326" max="4326" width="2.265625" style="20" customWidth="1"/>
    <col min="4327" max="4560" width="9.19921875" style="20"/>
    <col min="4561" max="4561" width="15.265625" style="20" customWidth="1"/>
    <col min="4562" max="4562" width="8.265625" style="20" customWidth="1"/>
    <col min="4563" max="4563" width="52.46484375" style="20" customWidth="1"/>
    <col min="4564" max="4564" width="9.19921875" style="20"/>
    <col min="4565" max="4565" width="11.796875" style="20" customWidth="1"/>
    <col min="4566" max="4566" width="9.73046875" style="20" customWidth="1"/>
    <col min="4567" max="4569" width="10.53125" style="20" customWidth="1"/>
    <col min="4570" max="4570" width="10.73046875" style="20" customWidth="1"/>
    <col min="4571" max="4571" width="3.46484375" style="20" customWidth="1"/>
    <col min="4572" max="4572" width="11.19921875" style="20" customWidth="1"/>
    <col min="4573" max="4577" width="9.19921875" style="20"/>
    <col min="4578" max="4578" width="11.19921875" style="20" customWidth="1"/>
    <col min="4579" max="4579" width="11.53125" style="20" customWidth="1"/>
    <col min="4580" max="4580" width="11.265625" style="20" customWidth="1"/>
    <col min="4581" max="4581" width="9.19921875" style="20" customWidth="1"/>
    <col min="4582" max="4582" width="2.265625" style="20" customWidth="1"/>
    <col min="4583" max="4816" width="9.19921875" style="20"/>
    <col min="4817" max="4817" width="15.265625" style="20" customWidth="1"/>
    <col min="4818" max="4818" width="8.265625" style="20" customWidth="1"/>
    <col min="4819" max="4819" width="52.46484375" style="20" customWidth="1"/>
    <col min="4820" max="4820" width="9.19921875" style="20"/>
    <col min="4821" max="4821" width="11.796875" style="20" customWidth="1"/>
    <col min="4822" max="4822" width="9.73046875" style="20" customWidth="1"/>
    <col min="4823" max="4825" width="10.53125" style="20" customWidth="1"/>
    <col min="4826" max="4826" width="10.73046875" style="20" customWidth="1"/>
    <col min="4827" max="4827" width="3.46484375" style="20" customWidth="1"/>
    <col min="4828" max="4828" width="11.19921875" style="20" customWidth="1"/>
    <col min="4829" max="4833" width="9.19921875" style="20"/>
    <col min="4834" max="4834" width="11.19921875" style="20" customWidth="1"/>
    <col min="4835" max="4835" width="11.53125" style="20" customWidth="1"/>
    <col min="4836" max="4836" width="11.265625" style="20" customWidth="1"/>
    <col min="4837" max="4837" width="9.19921875" style="20" customWidth="1"/>
    <col min="4838" max="4838" width="2.265625" style="20" customWidth="1"/>
    <col min="4839" max="5072" width="9.19921875" style="20"/>
    <col min="5073" max="5073" width="15.265625" style="20" customWidth="1"/>
    <col min="5074" max="5074" width="8.265625" style="20" customWidth="1"/>
    <col min="5075" max="5075" width="52.46484375" style="20" customWidth="1"/>
    <col min="5076" max="5076" width="9.19921875" style="20"/>
    <col min="5077" max="5077" width="11.796875" style="20" customWidth="1"/>
    <col min="5078" max="5078" width="9.73046875" style="20" customWidth="1"/>
    <col min="5079" max="5081" width="10.53125" style="20" customWidth="1"/>
    <col min="5082" max="5082" width="10.73046875" style="20" customWidth="1"/>
    <col min="5083" max="5083" width="3.46484375" style="20" customWidth="1"/>
    <col min="5084" max="5084" width="11.19921875" style="20" customWidth="1"/>
    <col min="5085" max="5089" width="9.19921875" style="20"/>
    <col min="5090" max="5090" width="11.19921875" style="20" customWidth="1"/>
    <col min="5091" max="5091" width="11.53125" style="20" customWidth="1"/>
    <col min="5092" max="5092" width="11.265625" style="20" customWidth="1"/>
    <col min="5093" max="5093" width="9.19921875" style="20" customWidth="1"/>
    <col min="5094" max="5094" width="2.265625" style="20" customWidth="1"/>
    <col min="5095" max="5328" width="9.19921875" style="20"/>
    <col min="5329" max="5329" width="15.265625" style="20" customWidth="1"/>
    <col min="5330" max="5330" width="8.265625" style="20" customWidth="1"/>
    <col min="5331" max="5331" width="52.46484375" style="20" customWidth="1"/>
    <col min="5332" max="5332" width="9.19921875" style="20"/>
    <col min="5333" max="5333" width="11.796875" style="20" customWidth="1"/>
    <col min="5334" max="5334" width="9.73046875" style="20" customWidth="1"/>
    <col min="5335" max="5337" width="10.53125" style="20" customWidth="1"/>
    <col min="5338" max="5338" width="10.73046875" style="20" customWidth="1"/>
    <col min="5339" max="5339" width="3.46484375" style="20" customWidth="1"/>
    <col min="5340" max="5340" width="11.19921875" style="20" customWidth="1"/>
    <col min="5341" max="5345" width="9.19921875" style="20"/>
    <col min="5346" max="5346" width="11.19921875" style="20" customWidth="1"/>
    <col min="5347" max="5347" width="11.53125" style="20" customWidth="1"/>
    <col min="5348" max="5348" width="11.265625" style="20" customWidth="1"/>
    <col min="5349" max="5349" width="9.19921875" style="20" customWidth="1"/>
    <col min="5350" max="5350" width="2.265625" style="20" customWidth="1"/>
    <col min="5351" max="5584" width="9.19921875" style="20"/>
    <col min="5585" max="5585" width="15.265625" style="20" customWidth="1"/>
    <col min="5586" max="5586" width="8.265625" style="20" customWidth="1"/>
    <col min="5587" max="5587" width="52.46484375" style="20" customWidth="1"/>
    <col min="5588" max="5588" width="9.19921875" style="20"/>
    <col min="5589" max="5589" width="11.796875" style="20" customWidth="1"/>
    <col min="5590" max="5590" width="9.73046875" style="20" customWidth="1"/>
    <col min="5591" max="5593" width="10.53125" style="20" customWidth="1"/>
    <col min="5594" max="5594" width="10.73046875" style="20" customWidth="1"/>
    <col min="5595" max="5595" width="3.46484375" style="20" customWidth="1"/>
    <col min="5596" max="5596" width="11.19921875" style="20" customWidth="1"/>
    <col min="5597" max="5601" width="9.19921875" style="20"/>
    <col min="5602" max="5602" width="11.19921875" style="20" customWidth="1"/>
    <col min="5603" max="5603" width="11.53125" style="20" customWidth="1"/>
    <col min="5604" max="5604" width="11.265625" style="20" customWidth="1"/>
    <col min="5605" max="5605" width="9.19921875" style="20" customWidth="1"/>
    <col min="5606" max="5606" width="2.265625" style="20" customWidth="1"/>
    <col min="5607" max="5840" width="9.19921875" style="20"/>
    <col min="5841" max="5841" width="15.265625" style="20" customWidth="1"/>
    <col min="5842" max="5842" width="8.265625" style="20" customWidth="1"/>
    <col min="5843" max="5843" width="52.46484375" style="20" customWidth="1"/>
    <col min="5844" max="5844" width="9.19921875" style="20"/>
    <col min="5845" max="5845" width="11.796875" style="20" customWidth="1"/>
    <col min="5846" max="5846" width="9.73046875" style="20" customWidth="1"/>
    <col min="5847" max="5849" width="10.53125" style="20" customWidth="1"/>
    <col min="5850" max="5850" width="10.73046875" style="20" customWidth="1"/>
    <col min="5851" max="5851" width="3.46484375" style="20" customWidth="1"/>
    <col min="5852" max="5852" width="11.19921875" style="20" customWidth="1"/>
    <col min="5853" max="5857" width="9.19921875" style="20"/>
    <col min="5858" max="5858" width="11.19921875" style="20" customWidth="1"/>
    <col min="5859" max="5859" width="11.53125" style="20" customWidth="1"/>
    <col min="5860" max="5860" width="11.265625" style="20" customWidth="1"/>
    <col min="5861" max="5861" width="9.19921875" style="20" customWidth="1"/>
    <col min="5862" max="5862" width="2.265625" style="20" customWidth="1"/>
    <col min="5863" max="6096" width="9.19921875" style="20"/>
    <col min="6097" max="6097" width="15.265625" style="20" customWidth="1"/>
    <col min="6098" max="6098" width="8.265625" style="20" customWidth="1"/>
    <col min="6099" max="6099" width="52.46484375" style="20" customWidth="1"/>
    <col min="6100" max="6100" width="9.19921875" style="20"/>
    <col min="6101" max="6101" width="11.796875" style="20" customWidth="1"/>
    <col min="6102" max="6102" width="9.73046875" style="20" customWidth="1"/>
    <col min="6103" max="6105" width="10.53125" style="20" customWidth="1"/>
    <col min="6106" max="6106" width="10.73046875" style="20" customWidth="1"/>
    <col min="6107" max="6107" width="3.46484375" style="20" customWidth="1"/>
    <col min="6108" max="6108" width="11.19921875" style="20" customWidth="1"/>
    <col min="6109" max="6113" width="9.19921875" style="20"/>
    <col min="6114" max="6114" width="11.19921875" style="20" customWidth="1"/>
    <col min="6115" max="6115" width="11.53125" style="20" customWidth="1"/>
    <col min="6116" max="6116" width="11.265625" style="20" customWidth="1"/>
    <col min="6117" max="6117" width="9.19921875" style="20" customWidth="1"/>
    <col min="6118" max="6118" width="2.265625" style="20" customWidth="1"/>
    <col min="6119" max="6352" width="9.19921875" style="20"/>
    <col min="6353" max="6353" width="15.265625" style="20" customWidth="1"/>
    <col min="6354" max="6354" width="8.265625" style="20" customWidth="1"/>
    <col min="6355" max="6355" width="52.46484375" style="20" customWidth="1"/>
    <col min="6356" max="6356" width="9.19921875" style="20"/>
    <col min="6357" max="6357" width="11.796875" style="20" customWidth="1"/>
    <col min="6358" max="6358" width="9.73046875" style="20" customWidth="1"/>
    <col min="6359" max="6361" width="10.53125" style="20" customWidth="1"/>
    <col min="6362" max="6362" width="10.73046875" style="20" customWidth="1"/>
    <col min="6363" max="6363" width="3.46484375" style="20" customWidth="1"/>
    <col min="6364" max="6364" width="11.19921875" style="20" customWidth="1"/>
    <col min="6365" max="6369" width="9.19921875" style="20"/>
    <col min="6370" max="6370" width="11.19921875" style="20" customWidth="1"/>
    <col min="6371" max="6371" width="11.53125" style="20" customWidth="1"/>
    <col min="6372" max="6372" width="11.265625" style="20" customWidth="1"/>
    <col min="6373" max="6373" width="9.19921875" style="20" customWidth="1"/>
    <col min="6374" max="6374" width="2.265625" style="20" customWidth="1"/>
    <col min="6375" max="6608" width="9.19921875" style="20"/>
    <col min="6609" max="6609" width="15.265625" style="20" customWidth="1"/>
    <col min="6610" max="6610" width="8.265625" style="20" customWidth="1"/>
    <col min="6611" max="6611" width="52.46484375" style="20" customWidth="1"/>
    <col min="6612" max="6612" width="9.19921875" style="20"/>
    <col min="6613" max="6613" width="11.796875" style="20" customWidth="1"/>
    <col min="6614" max="6614" width="9.73046875" style="20" customWidth="1"/>
    <col min="6615" max="6617" width="10.53125" style="20" customWidth="1"/>
    <col min="6618" max="6618" width="10.73046875" style="20" customWidth="1"/>
    <col min="6619" max="6619" width="3.46484375" style="20" customWidth="1"/>
    <col min="6620" max="6620" width="11.19921875" style="20" customWidth="1"/>
    <col min="6621" max="6625" width="9.19921875" style="20"/>
    <col min="6626" max="6626" width="11.19921875" style="20" customWidth="1"/>
    <col min="6627" max="6627" width="11.53125" style="20" customWidth="1"/>
    <col min="6628" max="6628" width="11.265625" style="20" customWidth="1"/>
    <col min="6629" max="6629" width="9.19921875" style="20" customWidth="1"/>
    <col min="6630" max="6630" width="2.265625" style="20" customWidth="1"/>
    <col min="6631" max="6864" width="9.19921875" style="20"/>
    <col min="6865" max="6865" width="15.265625" style="20" customWidth="1"/>
    <col min="6866" max="6866" width="8.265625" style="20" customWidth="1"/>
    <col min="6867" max="6867" width="52.46484375" style="20" customWidth="1"/>
    <col min="6868" max="6868" width="9.19921875" style="20"/>
    <col min="6869" max="6869" width="11.796875" style="20" customWidth="1"/>
    <col min="6870" max="6870" width="9.73046875" style="20" customWidth="1"/>
    <col min="6871" max="6873" width="10.53125" style="20" customWidth="1"/>
    <col min="6874" max="6874" width="10.73046875" style="20" customWidth="1"/>
    <col min="6875" max="6875" width="3.46484375" style="20" customWidth="1"/>
    <col min="6876" max="6876" width="11.19921875" style="20" customWidth="1"/>
    <col min="6877" max="6881" width="9.19921875" style="20"/>
    <col min="6882" max="6882" width="11.19921875" style="20" customWidth="1"/>
    <col min="6883" max="6883" width="11.53125" style="20" customWidth="1"/>
    <col min="6884" max="6884" width="11.265625" style="20" customWidth="1"/>
    <col min="6885" max="6885" width="9.19921875" style="20" customWidth="1"/>
    <col min="6886" max="6886" width="2.265625" style="20" customWidth="1"/>
    <col min="6887" max="7120" width="9.19921875" style="20"/>
    <col min="7121" max="7121" width="15.265625" style="20" customWidth="1"/>
    <col min="7122" max="7122" width="8.265625" style="20" customWidth="1"/>
    <col min="7123" max="7123" width="52.46484375" style="20" customWidth="1"/>
    <col min="7124" max="7124" width="9.19921875" style="20"/>
    <col min="7125" max="7125" width="11.796875" style="20" customWidth="1"/>
    <col min="7126" max="7126" width="9.73046875" style="20" customWidth="1"/>
    <col min="7127" max="7129" width="10.53125" style="20" customWidth="1"/>
    <col min="7130" max="7130" width="10.73046875" style="20" customWidth="1"/>
    <col min="7131" max="7131" width="3.46484375" style="20" customWidth="1"/>
    <col min="7132" max="7132" width="11.19921875" style="20" customWidth="1"/>
    <col min="7133" max="7137" width="9.19921875" style="20"/>
    <col min="7138" max="7138" width="11.19921875" style="20" customWidth="1"/>
    <col min="7139" max="7139" width="11.53125" style="20" customWidth="1"/>
    <col min="7140" max="7140" width="11.265625" style="20" customWidth="1"/>
    <col min="7141" max="7141" width="9.19921875" style="20" customWidth="1"/>
    <col min="7142" max="7142" width="2.265625" style="20" customWidth="1"/>
    <col min="7143" max="7376" width="9.19921875" style="20"/>
    <col min="7377" max="7377" width="15.265625" style="20" customWidth="1"/>
    <col min="7378" max="7378" width="8.265625" style="20" customWidth="1"/>
    <col min="7379" max="7379" width="52.46484375" style="20" customWidth="1"/>
    <col min="7380" max="7380" width="9.19921875" style="20"/>
    <col min="7381" max="7381" width="11.796875" style="20" customWidth="1"/>
    <col min="7382" max="7382" width="9.73046875" style="20" customWidth="1"/>
    <col min="7383" max="7385" width="10.53125" style="20" customWidth="1"/>
    <col min="7386" max="7386" width="10.73046875" style="20" customWidth="1"/>
    <col min="7387" max="7387" width="3.46484375" style="20" customWidth="1"/>
    <col min="7388" max="7388" width="11.19921875" style="20" customWidth="1"/>
    <col min="7389" max="7393" width="9.19921875" style="20"/>
    <col min="7394" max="7394" width="11.19921875" style="20" customWidth="1"/>
    <col min="7395" max="7395" width="11.53125" style="20" customWidth="1"/>
    <col min="7396" max="7396" width="11.265625" style="20" customWidth="1"/>
    <col min="7397" max="7397" width="9.19921875" style="20" customWidth="1"/>
    <col min="7398" max="7398" width="2.265625" style="20" customWidth="1"/>
    <col min="7399" max="7632" width="9.19921875" style="20"/>
    <col min="7633" max="7633" width="15.265625" style="20" customWidth="1"/>
    <col min="7634" max="7634" width="8.265625" style="20" customWidth="1"/>
    <col min="7635" max="7635" width="52.46484375" style="20" customWidth="1"/>
    <col min="7636" max="7636" width="9.19921875" style="20"/>
    <col min="7637" max="7637" width="11.796875" style="20" customWidth="1"/>
    <col min="7638" max="7638" width="9.73046875" style="20" customWidth="1"/>
    <col min="7639" max="7641" width="10.53125" style="20" customWidth="1"/>
    <col min="7642" max="7642" width="10.73046875" style="20" customWidth="1"/>
    <col min="7643" max="7643" width="3.46484375" style="20" customWidth="1"/>
    <col min="7644" max="7644" width="11.19921875" style="20" customWidth="1"/>
    <col min="7645" max="7649" width="9.19921875" style="20"/>
    <col min="7650" max="7650" width="11.19921875" style="20" customWidth="1"/>
    <col min="7651" max="7651" width="11.53125" style="20" customWidth="1"/>
    <col min="7652" max="7652" width="11.265625" style="20" customWidth="1"/>
    <col min="7653" max="7653" width="9.19921875" style="20" customWidth="1"/>
    <col min="7654" max="7654" width="2.265625" style="20" customWidth="1"/>
    <col min="7655" max="7888" width="9.19921875" style="20"/>
    <col min="7889" max="7889" width="15.265625" style="20" customWidth="1"/>
    <col min="7890" max="7890" width="8.265625" style="20" customWidth="1"/>
    <col min="7891" max="7891" width="52.46484375" style="20" customWidth="1"/>
    <col min="7892" max="7892" width="9.19921875" style="20"/>
    <col min="7893" max="7893" width="11.796875" style="20" customWidth="1"/>
    <col min="7894" max="7894" width="9.73046875" style="20" customWidth="1"/>
    <col min="7895" max="7897" width="10.53125" style="20" customWidth="1"/>
    <col min="7898" max="7898" width="10.73046875" style="20" customWidth="1"/>
    <col min="7899" max="7899" width="3.46484375" style="20" customWidth="1"/>
    <col min="7900" max="7900" width="11.19921875" style="20" customWidth="1"/>
    <col min="7901" max="7905" width="9.19921875" style="20"/>
    <col min="7906" max="7906" width="11.19921875" style="20" customWidth="1"/>
    <col min="7907" max="7907" width="11.53125" style="20" customWidth="1"/>
    <col min="7908" max="7908" width="11.265625" style="20" customWidth="1"/>
    <col min="7909" max="7909" width="9.19921875" style="20" customWidth="1"/>
    <col min="7910" max="7910" width="2.265625" style="20" customWidth="1"/>
    <col min="7911" max="8144" width="9.19921875" style="20"/>
    <col min="8145" max="8145" width="15.265625" style="20" customWidth="1"/>
    <col min="8146" max="8146" width="8.265625" style="20" customWidth="1"/>
    <col min="8147" max="8147" width="52.46484375" style="20" customWidth="1"/>
    <col min="8148" max="8148" width="9.19921875" style="20"/>
    <col min="8149" max="8149" width="11.796875" style="20" customWidth="1"/>
    <col min="8150" max="8150" width="9.73046875" style="20" customWidth="1"/>
    <col min="8151" max="8153" width="10.53125" style="20" customWidth="1"/>
    <col min="8154" max="8154" width="10.73046875" style="20" customWidth="1"/>
    <col min="8155" max="8155" width="3.46484375" style="20" customWidth="1"/>
    <col min="8156" max="8156" width="11.19921875" style="20" customWidth="1"/>
    <col min="8157" max="8161" width="9.19921875" style="20"/>
    <col min="8162" max="8162" width="11.19921875" style="20" customWidth="1"/>
    <col min="8163" max="8163" width="11.53125" style="20" customWidth="1"/>
    <col min="8164" max="8164" width="11.265625" style="20" customWidth="1"/>
    <col min="8165" max="8165" width="9.19921875" style="20" customWidth="1"/>
    <col min="8166" max="8166" width="2.265625" style="20" customWidth="1"/>
    <col min="8167" max="8400" width="9.19921875" style="20"/>
    <col min="8401" max="8401" width="15.265625" style="20" customWidth="1"/>
    <col min="8402" max="8402" width="8.265625" style="20" customWidth="1"/>
    <col min="8403" max="8403" width="52.46484375" style="20" customWidth="1"/>
    <col min="8404" max="8404" width="9.19921875" style="20"/>
    <col min="8405" max="8405" width="11.796875" style="20" customWidth="1"/>
    <col min="8406" max="8406" width="9.73046875" style="20" customWidth="1"/>
    <col min="8407" max="8409" width="10.53125" style="20" customWidth="1"/>
    <col min="8410" max="8410" width="10.73046875" style="20" customWidth="1"/>
    <col min="8411" max="8411" width="3.46484375" style="20" customWidth="1"/>
    <col min="8412" max="8412" width="11.19921875" style="20" customWidth="1"/>
    <col min="8413" max="8417" width="9.19921875" style="20"/>
    <col min="8418" max="8418" width="11.19921875" style="20" customWidth="1"/>
    <col min="8419" max="8419" width="11.53125" style="20" customWidth="1"/>
    <col min="8420" max="8420" width="11.265625" style="20" customWidth="1"/>
    <col min="8421" max="8421" width="9.19921875" style="20" customWidth="1"/>
    <col min="8422" max="8422" width="2.265625" style="20" customWidth="1"/>
    <col min="8423" max="8656" width="9.19921875" style="20"/>
    <col min="8657" max="8657" width="15.265625" style="20" customWidth="1"/>
    <col min="8658" max="8658" width="8.265625" style="20" customWidth="1"/>
    <col min="8659" max="8659" width="52.46484375" style="20" customWidth="1"/>
    <col min="8660" max="8660" width="9.19921875" style="20"/>
    <col min="8661" max="8661" width="11.796875" style="20" customWidth="1"/>
    <col min="8662" max="8662" width="9.73046875" style="20" customWidth="1"/>
    <col min="8663" max="8665" width="10.53125" style="20" customWidth="1"/>
    <col min="8666" max="8666" width="10.73046875" style="20" customWidth="1"/>
    <col min="8667" max="8667" width="3.46484375" style="20" customWidth="1"/>
    <col min="8668" max="8668" width="11.19921875" style="20" customWidth="1"/>
    <col min="8669" max="8673" width="9.19921875" style="20"/>
    <col min="8674" max="8674" width="11.19921875" style="20" customWidth="1"/>
    <col min="8675" max="8675" width="11.53125" style="20" customWidth="1"/>
    <col min="8676" max="8676" width="11.265625" style="20" customWidth="1"/>
    <col min="8677" max="8677" width="9.19921875" style="20" customWidth="1"/>
    <col min="8678" max="8678" width="2.265625" style="20" customWidth="1"/>
    <col min="8679" max="8912" width="9.19921875" style="20"/>
    <col min="8913" max="8913" width="15.265625" style="20" customWidth="1"/>
    <col min="8914" max="8914" width="8.265625" style="20" customWidth="1"/>
    <col min="8915" max="8915" width="52.46484375" style="20" customWidth="1"/>
    <col min="8916" max="8916" width="9.19921875" style="20"/>
    <col min="8917" max="8917" width="11.796875" style="20" customWidth="1"/>
    <col min="8918" max="8918" width="9.73046875" style="20" customWidth="1"/>
    <col min="8919" max="8921" width="10.53125" style="20" customWidth="1"/>
    <col min="8922" max="8922" width="10.73046875" style="20" customWidth="1"/>
    <col min="8923" max="8923" width="3.46484375" style="20" customWidth="1"/>
    <col min="8924" max="8924" width="11.19921875" style="20" customWidth="1"/>
    <col min="8925" max="8929" width="9.19921875" style="20"/>
    <col min="8930" max="8930" width="11.19921875" style="20" customWidth="1"/>
    <col min="8931" max="8931" width="11.53125" style="20" customWidth="1"/>
    <col min="8932" max="8932" width="11.265625" style="20" customWidth="1"/>
    <col min="8933" max="8933" width="9.19921875" style="20" customWidth="1"/>
    <col min="8934" max="8934" width="2.265625" style="20" customWidth="1"/>
    <col min="8935" max="9168" width="9.19921875" style="20"/>
    <col min="9169" max="9169" width="15.265625" style="20" customWidth="1"/>
    <col min="9170" max="9170" width="8.265625" style="20" customWidth="1"/>
    <col min="9171" max="9171" width="52.46484375" style="20" customWidth="1"/>
    <col min="9172" max="9172" width="9.19921875" style="20"/>
    <col min="9173" max="9173" width="11.796875" style="20" customWidth="1"/>
    <col min="9174" max="9174" width="9.73046875" style="20" customWidth="1"/>
    <col min="9175" max="9177" width="10.53125" style="20" customWidth="1"/>
    <col min="9178" max="9178" width="10.73046875" style="20" customWidth="1"/>
    <col min="9179" max="9179" width="3.46484375" style="20" customWidth="1"/>
    <col min="9180" max="9180" width="11.19921875" style="20" customWidth="1"/>
    <col min="9181" max="9185" width="9.19921875" style="20"/>
    <col min="9186" max="9186" width="11.19921875" style="20" customWidth="1"/>
    <col min="9187" max="9187" width="11.53125" style="20" customWidth="1"/>
    <col min="9188" max="9188" width="11.265625" style="20" customWidth="1"/>
    <col min="9189" max="9189" width="9.19921875" style="20" customWidth="1"/>
    <col min="9190" max="9190" width="2.265625" style="20" customWidth="1"/>
    <col min="9191" max="9424" width="9.19921875" style="20"/>
    <col min="9425" max="9425" width="15.265625" style="20" customWidth="1"/>
    <col min="9426" max="9426" width="8.265625" style="20" customWidth="1"/>
    <col min="9427" max="9427" width="52.46484375" style="20" customWidth="1"/>
    <col min="9428" max="9428" width="9.19921875" style="20"/>
    <col min="9429" max="9429" width="11.796875" style="20" customWidth="1"/>
    <col min="9430" max="9430" width="9.73046875" style="20" customWidth="1"/>
    <col min="9431" max="9433" width="10.53125" style="20" customWidth="1"/>
    <col min="9434" max="9434" width="10.73046875" style="20" customWidth="1"/>
    <col min="9435" max="9435" width="3.46484375" style="20" customWidth="1"/>
    <col min="9436" max="9436" width="11.19921875" style="20" customWidth="1"/>
    <col min="9437" max="9441" width="9.19921875" style="20"/>
    <col min="9442" max="9442" width="11.19921875" style="20" customWidth="1"/>
    <col min="9443" max="9443" width="11.53125" style="20" customWidth="1"/>
    <col min="9444" max="9444" width="11.265625" style="20" customWidth="1"/>
    <col min="9445" max="9445" width="9.19921875" style="20" customWidth="1"/>
    <col min="9446" max="9446" width="2.265625" style="20" customWidth="1"/>
    <col min="9447" max="9680" width="9.19921875" style="20"/>
    <col min="9681" max="9681" width="15.265625" style="20" customWidth="1"/>
    <col min="9682" max="9682" width="8.265625" style="20" customWidth="1"/>
    <col min="9683" max="9683" width="52.46484375" style="20" customWidth="1"/>
    <col min="9684" max="9684" width="9.19921875" style="20"/>
    <col min="9685" max="9685" width="11.796875" style="20" customWidth="1"/>
    <col min="9686" max="9686" width="9.73046875" style="20" customWidth="1"/>
    <col min="9687" max="9689" width="10.53125" style="20" customWidth="1"/>
    <col min="9690" max="9690" width="10.73046875" style="20" customWidth="1"/>
    <col min="9691" max="9691" width="3.46484375" style="20" customWidth="1"/>
    <col min="9692" max="9692" width="11.19921875" style="20" customWidth="1"/>
    <col min="9693" max="9697" width="9.19921875" style="20"/>
    <col min="9698" max="9698" width="11.19921875" style="20" customWidth="1"/>
    <col min="9699" max="9699" width="11.53125" style="20" customWidth="1"/>
    <col min="9700" max="9700" width="11.265625" style="20" customWidth="1"/>
    <col min="9701" max="9701" width="9.19921875" style="20" customWidth="1"/>
    <col min="9702" max="9702" width="2.265625" style="20" customWidth="1"/>
    <col min="9703" max="9936" width="9.19921875" style="20"/>
    <col min="9937" max="9937" width="15.265625" style="20" customWidth="1"/>
    <col min="9938" max="9938" width="8.265625" style="20" customWidth="1"/>
    <col min="9939" max="9939" width="52.46484375" style="20" customWidth="1"/>
    <col min="9940" max="9940" width="9.19921875" style="20"/>
    <col min="9941" max="9941" width="11.796875" style="20" customWidth="1"/>
    <col min="9942" max="9942" width="9.73046875" style="20" customWidth="1"/>
    <col min="9943" max="9945" width="10.53125" style="20" customWidth="1"/>
    <col min="9946" max="9946" width="10.73046875" style="20" customWidth="1"/>
    <col min="9947" max="9947" width="3.46484375" style="20" customWidth="1"/>
    <col min="9948" max="9948" width="11.19921875" style="20" customWidth="1"/>
    <col min="9949" max="9953" width="9.19921875" style="20"/>
    <col min="9954" max="9954" width="11.19921875" style="20" customWidth="1"/>
    <col min="9955" max="9955" width="11.53125" style="20" customWidth="1"/>
    <col min="9956" max="9956" width="11.265625" style="20" customWidth="1"/>
    <col min="9957" max="9957" width="9.19921875" style="20" customWidth="1"/>
    <col min="9958" max="9958" width="2.265625" style="20" customWidth="1"/>
    <col min="9959" max="10192" width="9.19921875" style="20"/>
    <col min="10193" max="10193" width="15.265625" style="20" customWidth="1"/>
    <col min="10194" max="10194" width="8.265625" style="20" customWidth="1"/>
    <col min="10195" max="10195" width="52.46484375" style="20" customWidth="1"/>
    <col min="10196" max="10196" width="9.19921875" style="20"/>
    <col min="10197" max="10197" width="11.796875" style="20" customWidth="1"/>
    <col min="10198" max="10198" width="9.73046875" style="20" customWidth="1"/>
    <col min="10199" max="10201" width="10.53125" style="20" customWidth="1"/>
    <col min="10202" max="10202" width="10.73046875" style="20" customWidth="1"/>
    <col min="10203" max="10203" width="3.46484375" style="20" customWidth="1"/>
    <col min="10204" max="10204" width="11.19921875" style="20" customWidth="1"/>
    <col min="10205" max="10209" width="9.19921875" style="20"/>
    <col min="10210" max="10210" width="11.19921875" style="20" customWidth="1"/>
    <col min="10211" max="10211" width="11.53125" style="20" customWidth="1"/>
    <col min="10212" max="10212" width="11.265625" style="20" customWidth="1"/>
    <col min="10213" max="10213" width="9.19921875" style="20" customWidth="1"/>
    <col min="10214" max="10214" width="2.265625" style="20" customWidth="1"/>
    <col min="10215" max="10448" width="9.19921875" style="20"/>
    <col min="10449" max="10449" width="15.265625" style="20" customWidth="1"/>
    <col min="10450" max="10450" width="8.265625" style="20" customWidth="1"/>
    <col min="10451" max="10451" width="52.46484375" style="20" customWidth="1"/>
    <col min="10452" max="10452" width="9.19921875" style="20"/>
    <col min="10453" max="10453" width="11.796875" style="20" customWidth="1"/>
    <col min="10454" max="10454" width="9.73046875" style="20" customWidth="1"/>
    <col min="10455" max="10457" width="10.53125" style="20" customWidth="1"/>
    <col min="10458" max="10458" width="10.73046875" style="20" customWidth="1"/>
    <col min="10459" max="10459" width="3.46484375" style="20" customWidth="1"/>
    <col min="10460" max="10460" width="11.19921875" style="20" customWidth="1"/>
    <col min="10461" max="10465" width="9.19921875" style="20"/>
    <col min="10466" max="10466" width="11.19921875" style="20" customWidth="1"/>
    <col min="10467" max="10467" width="11.53125" style="20" customWidth="1"/>
    <col min="10468" max="10468" width="11.265625" style="20" customWidth="1"/>
    <col min="10469" max="10469" width="9.19921875" style="20" customWidth="1"/>
    <col min="10470" max="10470" width="2.265625" style="20" customWidth="1"/>
    <col min="10471" max="10704" width="9.19921875" style="20"/>
    <col min="10705" max="10705" width="15.265625" style="20" customWidth="1"/>
    <col min="10706" max="10706" width="8.265625" style="20" customWidth="1"/>
    <col min="10707" max="10707" width="52.46484375" style="20" customWidth="1"/>
    <col min="10708" max="10708" width="9.19921875" style="20"/>
    <col min="10709" max="10709" width="11.796875" style="20" customWidth="1"/>
    <col min="10710" max="10710" width="9.73046875" style="20" customWidth="1"/>
    <col min="10711" max="10713" width="10.53125" style="20" customWidth="1"/>
    <col min="10714" max="10714" width="10.73046875" style="20" customWidth="1"/>
    <col min="10715" max="10715" width="3.46484375" style="20" customWidth="1"/>
    <col min="10716" max="10716" width="11.19921875" style="20" customWidth="1"/>
    <col min="10717" max="10721" width="9.19921875" style="20"/>
    <col min="10722" max="10722" width="11.19921875" style="20" customWidth="1"/>
    <col min="10723" max="10723" width="11.53125" style="20" customWidth="1"/>
    <col min="10724" max="10724" width="11.265625" style="20" customWidth="1"/>
    <col min="10725" max="10725" width="9.19921875" style="20" customWidth="1"/>
    <col min="10726" max="10726" width="2.265625" style="20" customWidth="1"/>
    <col min="10727" max="10960" width="9.19921875" style="20"/>
    <col min="10961" max="10961" width="15.265625" style="20" customWidth="1"/>
    <col min="10962" max="10962" width="8.265625" style="20" customWidth="1"/>
    <col min="10963" max="10963" width="52.46484375" style="20" customWidth="1"/>
    <col min="10964" max="10964" width="9.19921875" style="20"/>
    <col min="10965" max="10965" width="11.796875" style="20" customWidth="1"/>
    <col min="10966" max="10966" width="9.73046875" style="20" customWidth="1"/>
    <col min="10967" max="10969" width="10.53125" style="20" customWidth="1"/>
    <col min="10970" max="10970" width="10.73046875" style="20" customWidth="1"/>
    <col min="10971" max="10971" width="3.46484375" style="20" customWidth="1"/>
    <col min="10972" max="10972" width="11.19921875" style="20" customWidth="1"/>
    <col min="10973" max="10977" width="9.19921875" style="20"/>
    <col min="10978" max="10978" width="11.19921875" style="20" customWidth="1"/>
    <col min="10979" max="10979" width="11.53125" style="20" customWidth="1"/>
    <col min="10980" max="10980" width="11.265625" style="20" customWidth="1"/>
    <col min="10981" max="10981" width="9.19921875" style="20" customWidth="1"/>
    <col min="10982" max="10982" width="2.265625" style="20" customWidth="1"/>
    <col min="10983" max="11216" width="9.19921875" style="20"/>
    <col min="11217" max="11217" width="15.265625" style="20" customWidth="1"/>
    <col min="11218" max="11218" width="8.265625" style="20" customWidth="1"/>
    <col min="11219" max="11219" width="52.46484375" style="20" customWidth="1"/>
    <col min="11220" max="11220" width="9.19921875" style="20"/>
    <col min="11221" max="11221" width="11.796875" style="20" customWidth="1"/>
    <col min="11222" max="11222" width="9.73046875" style="20" customWidth="1"/>
    <col min="11223" max="11225" width="10.53125" style="20" customWidth="1"/>
    <col min="11226" max="11226" width="10.73046875" style="20" customWidth="1"/>
    <col min="11227" max="11227" width="3.46484375" style="20" customWidth="1"/>
    <col min="11228" max="11228" width="11.19921875" style="20" customWidth="1"/>
    <col min="11229" max="11233" width="9.19921875" style="20"/>
    <col min="11234" max="11234" width="11.19921875" style="20" customWidth="1"/>
    <col min="11235" max="11235" width="11.53125" style="20" customWidth="1"/>
    <col min="11236" max="11236" width="11.265625" style="20" customWidth="1"/>
    <col min="11237" max="11237" width="9.19921875" style="20" customWidth="1"/>
    <col min="11238" max="11238" width="2.265625" style="20" customWidth="1"/>
    <col min="11239" max="11472" width="9.19921875" style="20"/>
    <col min="11473" max="11473" width="15.265625" style="20" customWidth="1"/>
    <col min="11474" max="11474" width="8.265625" style="20" customWidth="1"/>
    <col min="11475" max="11475" width="52.46484375" style="20" customWidth="1"/>
    <col min="11476" max="11476" width="9.19921875" style="20"/>
    <col min="11477" max="11477" width="11.796875" style="20" customWidth="1"/>
    <col min="11478" max="11478" width="9.73046875" style="20" customWidth="1"/>
    <col min="11479" max="11481" width="10.53125" style="20" customWidth="1"/>
    <col min="11482" max="11482" width="10.73046875" style="20" customWidth="1"/>
    <col min="11483" max="11483" width="3.46484375" style="20" customWidth="1"/>
    <col min="11484" max="11484" width="11.19921875" style="20" customWidth="1"/>
    <col min="11485" max="11489" width="9.19921875" style="20"/>
    <col min="11490" max="11490" width="11.19921875" style="20" customWidth="1"/>
    <col min="11491" max="11491" width="11.53125" style="20" customWidth="1"/>
    <col min="11492" max="11492" width="11.265625" style="20" customWidth="1"/>
    <col min="11493" max="11493" width="9.19921875" style="20" customWidth="1"/>
    <col min="11494" max="11494" width="2.265625" style="20" customWidth="1"/>
    <col min="11495" max="11728" width="9.19921875" style="20"/>
    <col min="11729" max="11729" width="15.265625" style="20" customWidth="1"/>
    <col min="11730" max="11730" width="8.265625" style="20" customWidth="1"/>
    <col min="11731" max="11731" width="52.46484375" style="20" customWidth="1"/>
    <col min="11732" max="11732" width="9.19921875" style="20"/>
    <col min="11733" max="11733" width="11.796875" style="20" customWidth="1"/>
    <col min="11734" max="11734" width="9.73046875" style="20" customWidth="1"/>
    <col min="11735" max="11737" width="10.53125" style="20" customWidth="1"/>
    <col min="11738" max="11738" width="10.73046875" style="20" customWidth="1"/>
    <col min="11739" max="11739" width="3.46484375" style="20" customWidth="1"/>
    <col min="11740" max="11740" width="11.19921875" style="20" customWidth="1"/>
    <col min="11741" max="11745" width="9.19921875" style="20"/>
    <col min="11746" max="11746" width="11.19921875" style="20" customWidth="1"/>
    <col min="11747" max="11747" width="11.53125" style="20" customWidth="1"/>
    <col min="11748" max="11748" width="11.265625" style="20" customWidth="1"/>
    <col min="11749" max="11749" width="9.19921875" style="20" customWidth="1"/>
    <col min="11750" max="11750" width="2.265625" style="20" customWidth="1"/>
    <col min="11751" max="11984" width="9.19921875" style="20"/>
    <col min="11985" max="11985" width="15.265625" style="20" customWidth="1"/>
    <col min="11986" max="11986" width="8.265625" style="20" customWidth="1"/>
    <col min="11987" max="11987" width="52.46484375" style="20" customWidth="1"/>
    <col min="11988" max="11988" width="9.19921875" style="20"/>
    <col min="11989" max="11989" width="11.796875" style="20" customWidth="1"/>
    <col min="11990" max="11990" width="9.73046875" style="20" customWidth="1"/>
    <col min="11991" max="11993" width="10.53125" style="20" customWidth="1"/>
    <col min="11994" max="11994" width="10.73046875" style="20" customWidth="1"/>
    <col min="11995" max="11995" width="3.46484375" style="20" customWidth="1"/>
    <col min="11996" max="11996" width="11.19921875" style="20" customWidth="1"/>
    <col min="11997" max="12001" width="9.19921875" style="20"/>
    <col min="12002" max="12002" width="11.19921875" style="20" customWidth="1"/>
    <col min="12003" max="12003" width="11.53125" style="20" customWidth="1"/>
    <col min="12004" max="12004" width="11.265625" style="20" customWidth="1"/>
    <col min="12005" max="12005" width="9.19921875" style="20" customWidth="1"/>
    <col min="12006" max="12006" width="2.265625" style="20" customWidth="1"/>
    <col min="12007" max="12240" width="9.19921875" style="20"/>
    <col min="12241" max="12241" width="15.265625" style="20" customWidth="1"/>
    <col min="12242" max="12242" width="8.265625" style="20" customWidth="1"/>
    <col min="12243" max="12243" width="52.46484375" style="20" customWidth="1"/>
    <col min="12244" max="12244" width="9.19921875" style="20"/>
    <col min="12245" max="12245" width="11.796875" style="20" customWidth="1"/>
    <col min="12246" max="12246" width="9.73046875" style="20" customWidth="1"/>
    <col min="12247" max="12249" width="10.53125" style="20" customWidth="1"/>
    <col min="12250" max="12250" width="10.73046875" style="20" customWidth="1"/>
    <col min="12251" max="12251" width="3.46484375" style="20" customWidth="1"/>
    <col min="12252" max="12252" width="11.19921875" style="20" customWidth="1"/>
    <col min="12253" max="12257" width="9.19921875" style="20"/>
    <col min="12258" max="12258" width="11.19921875" style="20" customWidth="1"/>
    <col min="12259" max="12259" width="11.53125" style="20" customWidth="1"/>
    <col min="12260" max="12260" width="11.265625" style="20" customWidth="1"/>
    <col min="12261" max="12261" width="9.19921875" style="20" customWidth="1"/>
    <col min="12262" max="12262" width="2.265625" style="20" customWidth="1"/>
    <col min="12263" max="12496" width="9.19921875" style="20"/>
    <col min="12497" max="12497" width="15.265625" style="20" customWidth="1"/>
    <col min="12498" max="12498" width="8.265625" style="20" customWidth="1"/>
    <col min="12499" max="12499" width="52.46484375" style="20" customWidth="1"/>
    <col min="12500" max="12500" width="9.19921875" style="20"/>
    <col min="12501" max="12501" width="11.796875" style="20" customWidth="1"/>
    <col min="12502" max="12502" width="9.73046875" style="20" customWidth="1"/>
    <col min="12503" max="12505" width="10.53125" style="20" customWidth="1"/>
    <col min="12506" max="12506" width="10.73046875" style="20" customWidth="1"/>
    <col min="12507" max="12507" width="3.46484375" style="20" customWidth="1"/>
    <col min="12508" max="12508" width="11.19921875" style="20" customWidth="1"/>
    <col min="12509" max="12513" width="9.19921875" style="20"/>
    <col min="12514" max="12514" width="11.19921875" style="20" customWidth="1"/>
    <col min="12515" max="12515" width="11.53125" style="20" customWidth="1"/>
    <col min="12516" max="12516" width="11.265625" style="20" customWidth="1"/>
    <col min="12517" max="12517" width="9.19921875" style="20" customWidth="1"/>
    <col min="12518" max="12518" width="2.265625" style="20" customWidth="1"/>
    <col min="12519" max="12752" width="9.19921875" style="20"/>
    <col min="12753" max="12753" width="15.265625" style="20" customWidth="1"/>
    <col min="12754" max="12754" width="8.265625" style="20" customWidth="1"/>
    <col min="12755" max="12755" width="52.46484375" style="20" customWidth="1"/>
    <col min="12756" max="12756" width="9.19921875" style="20"/>
    <col min="12757" max="12757" width="11.796875" style="20" customWidth="1"/>
    <col min="12758" max="12758" width="9.73046875" style="20" customWidth="1"/>
    <col min="12759" max="12761" width="10.53125" style="20" customWidth="1"/>
    <col min="12762" max="12762" width="10.73046875" style="20" customWidth="1"/>
    <col min="12763" max="12763" width="3.46484375" style="20" customWidth="1"/>
    <col min="12764" max="12764" width="11.19921875" style="20" customWidth="1"/>
    <col min="12765" max="12769" width="9.19921875" style="20"/>
    <col min="12770" max="12770" width="11.19921875" style="20" customWidth="1"/>
    <col min="12771" max="12771" width="11.53125" style="20" customWidth="1"/>
    <col min="12772" max="12772" width="11.265625" style="20" customWidth="1"/>
    <col min="12773" max="12773" width="9.19921875" style="20" customWidth="1"/>
    <col min="12774" max="12774" width="2.265625" style="20" customWidth="1"/>
    <col min="12775" max="13008" width="9.19921875" style="20"/>
    <col min="13009" max="13009" width="15.265625" style="20" customWidth="1"/>
    <col min="13010" max="13010" width="8.265625" style="20" customWidth="1"/>
    <col min="13011" max="13011" width="52.46484375" style="20" customWidth="1"/>
    <col min="13012" max="13012" width="9.19921875" style="20"/>
    <col min="13013" max="13013" width="11.796875" style="20" customWidth="1"/>
    <col min="13014" max="13014" width="9.73046875" style="20" customWidth="1"/>
    <col min="13015" max="13017" width="10.53125" style="20" customWidth="1"/>
    <col min="13018" max="13018" width="10.73046875" style="20" customWidth="1"/>
    <col min="13019" max="13019" width="3.46484375" style="20" customWidth="1"/>
    <col min="13020" max="13020" width="11.19921875" style="20" customWidth="1"/>
    <col min="13021" max="13025" width="9.19921875" style="20"/>
    <col min="13026" max="13026" width="11.19921875" style="20" customWidth="1"/>
    <col min="13027" max="13027" width="11.53125" style="20" customWidth="1"/>
    <col min="13028" max="13028" width="11.265625" style="20" customWidth="1"/>
    <col min="13029" max="13029" width="9.19921875" style="20" customWidth="1"/>
    <col min="13030" max="13030" width="2.265625" style="20" customWidth="1"/>
    <col min="13031" max="13264" width="9.19921875" style="20"/>
    <col min="13265" max="13265" width="15.265625" style="20" customWidth="1"/>
    <col min="13266" max="13266" width="8.265625" style="20" customWidth="1"/>
    <col min="13267" max="13267" width="52.46484375" style="20" customWidth="1"/>
    <col min="13268" max="13268" width="9.19921875" style="20"/>
    <col min="13269" max="13269" width="11.796875" style="20" customWidth="1"/>
    <col min="13270" max="13270" width="9.73046875" style="20" customWidth="1"/>
    <col min="13271" max="13273" width="10.53125" style="20" customWidth="1"/>
    <col min="13274" max="13274" width="10.73046875" style="20" customWidth="1"/>
    <col min="13275" max="13275" width="3.46484375" style="20" customWidth="1"/>
    <col min="13276" max="13276" width="11.19921875" style="20" customWidth="1"/>
    <col min="13277" max="13281" width="9.19921875" style="20"/>
    <col min="13282" max="13282" width="11.19921875" style="20" customWidth="1"/>
    <col min="13283" max="13283" width="11.53125" style="20" customWidth="1"/>
    <col min="13284" max="13284" width="11.265625" style="20" customWidth="1"/>
    <col min="13285" max="13285" width="9.19921875" style="20" customWidth="1"/>
    <col min="13286" max="13286" width="2.265625" style="20" customWidth="1"/>
    <col min="13287" max="13520" width="9.19921875" style="20"/>
    <col min="13521" max="13521" width="15.265625" style="20" customWidth="1"/>
    <col min="13522" max="13522" width="8.265625" style="20" customWidth="1"/>
    <col min="13523" max="13523" width="52.46484375" style="20" customWidth="1"/>
    <col min="13524" max="13524" width="9.19921875" style="20"/>
    <col min="13525" max="13525" width="11.796875" style="20" customWidth="1"/>
    <col min="13526" max="13526" width="9.73046875" style="20" customWidth="1"/>
    <col min="13527" max="13529" width="10.53125" style="20" customWidth="1"/>
    <col min="13530" max="13530" width="10.73046875" style="20" customWidth="1"/>
    <col min="13531" max="13531" width="3.46484375" style="20" customWidth="1"/>
    <col min="13532" max="13532" width="11.19921875" style="20" customWidth="1"/>
    <col min="13533" max="13537" width="9.19921875" style="20"/>
    <col min="13538" max="13538" width="11.19921875" style="20" customWidth="1"/>
    <col min="13539" max="13539" width="11.53125" style="20" customWidth="1"/>
    <col min="13540" max="13540" width="11.265625" style="20" customWidth="1"/>
    <col min="13541" max="13541" width="9.19921875" style="20" customWidth="1"/>
    <col min="13542" max="13542" width="2.265625" style="20" customWidth="1"/>
    <col min="13543" max="13776" width="9.19921875" style="20"/>
    <col min="13777" max="13777" width="15.265625" style="20" customWidth="1"/>
    <col min="13778" max="13778" width="8.265625" style="20" customWidth="1"/>
    <col min="13779" max="13779" width="52.46484375" style="20" customWidth="1"/>
    <col min="13780" max="13780" width="9.19921875" style="20"/>
    <col min="13781" max="13781" width="11.796875" style="20" customWidth="1"/>
    <col min="13782" max="13782" width="9.73046875" style="20" customWidth="1"/>
    <col min="13783" max="13785" width="10.53125" style="20" customWidth="1"/>
    <col min="13786" max="13786" width="10.73046875" style="20" customWidth="1"/>
    <col min="13787" max="13787" width="3.46484375" style="20" customWidth="1"/>
    <col min="13788" max="13788" width="11.19921875" style="20" customWidth="1"/>
    <col min="13789" max="13793" width="9.19921875" style="20"/>
    <col min="13794" max="13794" width="11.19921875" style="20" customWidth="1"/>
    <col min="13795" max="13795" width="11.53125" style="20" customWidth="1"/>
    <col min="13796" max="13796" width="11.265625" style="20" customWidth="1"/>
    <col min="13797" max="13797" width="9.19921875" style="20" customWidth="1"/>
    <col min="13798" max="13798" width="2.265625" style="20" customWidth="1"/>
    <col min="13799" max="14032" width="9.19921875" style="20"/>
    <col min="14033" max="14033" width="15.265625" style="20" customWidth="1"/>
    <col min="14034" max="14034" width="8.265625" style="20" customWidth="1"/>
    <col min="14035" max="14035" width="52.46484375" style="20" customWidth="1"/>
    <col min="14036" max="14036" width="9.19921875" style="20"/>
    <col min="14037" max="14037" width="11.796875" style="20" customWidth="1"/>
    <col min="14038" max="14038" width="9.73046875" style="20" customWidth="1"/>
    <col min="14039" max="14041" width="10.53125" style="20" customWidth="1"/>
    <col min="14042" max="14042" width="10.73046875" style="20" customWidth="1"/>
    <col min="14043" max="14043" width="3.46484375" style="20" customWidth="1"/>
    <col min="14044" max="14044" width="11.19921875" style="20" customWidth="1"/>
    <col min="14045" max="14049" width="9.19921875" style="20"/>
    <col min="14050" max="14050" width="11.19921875" style="20" customWidth="1"/>
    <col min="14051" max="14051" width="11.53125" style="20" customWidth="1"/>
    <col min="14052" max="14052" width="11.265625" style="20" customWidth="1"/>
    <col min="14053" max="14053" width="9.19921875" style="20" customWidth="1"/>
    <col min="14054" max="14054" width="2.265625" style="20" customWidth="1"/>
    <col min="14055" max="14288" width="9.19921875" style="20"/>
    <col min="14289" max="14289" width="15.265625" style="20" customWidth="1"/>
    <col min="14290" max="14290" width="8.265625" style="20" customWidth="1"/>
    <col min="14291" max="14291" width="52.46484375" style="20" customWidth="1"/>
    <col min="14292" max="14292" width="9.19921875" style="20"/>
    <col min="14293" max="14293" width="11.796875" style="20" customWidth="1"/>
    <col min="14294" max="14294" width="9.73046875" style="20" customWidth="1"/>
    <col min="14295" max="14297" width="10.53125" style="20" customWidth="1"/>
    <col min="14298" max="14298" width="10.73046875" style="20" customWidth="1"/>
    <col min="14299" max="14299" width="3.46484375" style="20" customWidth="1"/>
    <col min="14300" max="14300" width="11.19921875" style="20" customWidth="1"/>
    <col min="14301" max="14305" width="9.19921875" style="20"/>
    <col min="14306" max="14306" width="11.19921875" style="20" customWidth="1"/>
    <col min="14307" max="14307" width="11.53125" style="20" customWidth="1"/>
    <col min="14308" max="14308" width="11.265625" style="20" customWidth="1"/>
    <col min="14309" max="14309" width="9.19921875" style="20" customWidth="1"/>
    <col min="14310" max="14310" width="2.265625" style="20" customWidth="1"/>
    <col min="14311" max="14544" width="9.19921875" style="20"/>
    <col min="14545" max="14545" width="15.265625" style="20" customWidth="1"/>
    <col min="14546" max="14546" width="8.265625" style="20" customWidth="1"/>
    <col min="14547" max="14547" width="52.46484375" style="20" customWidth="1"/>
    <col min="14548" max="14548" width="9.19921875" style="20"/>
    <col min="14549" max="14549" width="11.796875" style="20" customWidth="1"/>
    <col min="14550" max="14550" width="9.73046875" style="20" customWidth="1"/>
    <col min="14551" max="14553" width="10.53125" style="20" customWidth="1"/>
    <col min="14554" max="14554" width="10.73046875" style="20" customWidth="1"/>
    <col min="14555" max="14555" width="3.46484375" style="20" customWidth="1"/>
    <col min="14556" max="14556" width="11.19921875" style="20" customWidth="1"/>
    <col min="14557" max="14561" width="9.19921875" style="20"/>
    <col min="14562" max="14562" width="11.19921875" style="20" customWidth="1"/>
    <col min="14563" max="14563" width="11.53125" style="20" customWidth="1"/>
    <col min="14564" max="14564" width="11.265625" style="20" customWidth="1"/>
    <col min="14565" max="14565" width="9.19921875" style="20" customWidth="1"/>
    <col min="14566" max="14566" width="2.265625" style="20" customWidth="1"/>
    <col min="14567" max="14800" width="9.19921875" style="20"/>
    <col min="14801" max="14801" width="15.265625" style="20" customWidth="1"/>
    <col min="14802" max="14802" width="8.265625" style="20" customWidth="1"/>
    <col min="14803" max="14803" width="52.46484375" style="20" customWidth="1"/>
    <col min="14804" max="14804" width="9.19921875" style="20"/>
    <col min="14805" max="14805" width="11.796875" style="20" customWidth="1"/>
    <col min="14806" max="14806" width="9.73046875" style="20" customWidth="1"/>
    <col min="14807" max="14809" width="10.53125" style="20" customWidth="1"/>
    <col min="14810" max="14810" width="10.73046875" style="20" customWidth="1"/>
    <col min="14811" max="14811" width="3.46484375" style="20" customWidth="1"/>
    <col min="14812" max="14812" width="11.19921875" style="20" customWidth="1"/>
    <col min="14813" max="14817" width="9.19921875" style="20"/>
    <col min="14818" max="14818" width="11.19921875" style="20" customWidth="1"/>
    <col min="14819" max="14819" width="11.53125" style="20" customWidth="1"/>
    <col min="14820" max="14820" width="11.265625" style="20" customWidth="1"/>
    <col min="14821" max="14821" width="9.19921875" style="20" customWidth="1"/>
    <col min="14822" max="14822" width="2.265625" style="20" customWidth="1"/>
    <col min="14823" max="15056" width="9.19921875" style="20"/>
    <col min="15057" max="15057" width="15.265625" style="20" customWidth="1"/>
    <col min="15058" max="15058" width="8.265625" style="20" customWidth="1"/>
    <col min="15059" max="15059" width="52.46484375" style="20" customWidth="1"/>
    <col min="15060" max="15060" width="9.19921875" style="20"/>
    <col min="15061" max="15061" width="11.796875" style="20" customWidth="1"/>
    <col min="15062" max="15062" width="9.73046875" style="20" customWidth="1"/>
    <col min="15063" max="15065" width="10.53125" style="20" customWidth="1"/>
    <col min="15066" max="15066" width="10.73046875" style="20" customWidth="1"/>
    <col min="15067" max="15067" width="3.46484375" style="20" customWidth="1"/>
    <col min="15068" max="15068" width="11.19921875" style="20" customWidth="1"/>
    <col min="15069" max="15073" width="9.19921875" style="20"/>
    <col min="15074" max="15074" width="11.19921875" style="20" customWidth="1"/>
    <col min="15075" max="15075" width="11.53125" style="20" customWidth="1"/>
    <col min="15076" max="15076" width="11.265625" style="20" customWidth="1"/>
    <col min="15077" max="15077" width="9.19921875" style="20" customWidth="1"/>
    <col min="15078" max="15078" width="2.265625" style="20" customWidth="1"/>
    <col min="15079" max="15312" width="9.19921875" style="20"/>
    <col min="15313" max="15313" width="15.265625" style="20" customWidth="1"/>
    <col min="15314" max="15314" width="8.265625" style="20" customWidth="1"/>
    <col min="15315" max="15315" width="52.46484375" style="20" customWidth="1"/>
    <col min="15316" max="15316" width="9.19921875" style="20"/>
    <col min="15317" max="15317" width="11.796875" style="20" customWidth="1"/>
    <col min="15318" max="15318" width="9.73046875" style="20" customWidth="1"/>
    <col min="15319" max="15321" width="10.53125" style="20" customWidth="1"/>
    <col min="15322" max="15322" width="10.73046875" style="20" customWidth="1"/>
    <col min="15323" max="15323" width="3.46484375" style="20" customWidth="1"/>
    <col min="15324" max="15324" width="11.19921875" style="20" customWidth="1"/>
    <col min="15325" max="15329" width="9.19921875" style="20"/>
    <col min="15330" max="15330" width="11.19921875" style="20" customWidth="1"/>
    <col min="15331" max="15331" width="11.53125" style="20" customWidth="1"/>
    <col min="15332" max="15332" width="11.265625" style="20" customWidth="1"/>
    <col min="15333" max="15333" width="9.19921875" style="20" customWidth="1"/>
    <col min="15334" max="15334" width="2.265625" style="20" customWidth="1"/>
    <col min="15335" max="15568" width="9.19921875" style="20"/>
    <col min="15569" max="15569" width="15.265625" style="20" customWidth="1"/>
    <col min="15570" max="15570" width="8.265625" style="20" customWidth="1"/>
    <col min="15571" max="15571" width="52.46484375" style="20" customWidth="1"/>
    <col min="15572" max="15572" width="9.19921875" style="20"/>
    <col min="15573" max="15573" width="11.796875" style="20" customWidth="1"/>
    <col min="15574" max="15574" width="9.73046875" style="20" customWidth="1"/>
    <col min="15575" max="15577" width="10.53125" style="20" customWidth="1"/>
    <col min="15578" max="15578" width="10.73046875" style="20" customWidth="1"/>
    <col min="15579" max="15579" width="3.46484375" style="20" customWidth="1"/>
    <col min="15580" max="15580" width="11.19921875" style="20" customWidth="1"/>
    <col min="15581" max="15585" width="9.19921875" style="20"/>
    <col min="15586" max="15586" width="11.19921875" style="20" customWidth="1"/>
    <col min="15587" max="15587" width="11.53125" style="20" customWidth="1"/>
    <col min="15588" max="15588" width="11.265625" style="20" customWidth="1"/>
    <col min="15589" max="15589" width="9.19921875" style="20" customWidth="1"/>
    <col min="15590" max="15590" width="2.265625" style="20" customWidth="1"/>
    <col min="15591" max="15824" width="9.19921875" style="20"/>
    <col min="15825" max="15825" width="15.265625" style="20" customWidth="1"/>
    <col min="15826" max="15826" width="8.265625" style="20" customWidth="1"/>
    <col min="15827" max="15827" width="52.46484375" style="20" customWidth="1"/>
    <col min="15828" max="15828" width="9.19921875" style="20"/>
    <col min="15829" max="15829" width="11.796875" style="20" customWidth="1"/>
    <col min="15830" max="15830" width="9.73046875" style="20" customWidth="1"/>
    <col min="15831" max="15833" width="10.53125" style="20" customWidth="1"/>
    <col min="15834" max="15834" width="10.73046875" style="20" customWidth="1"/>
    <col min="15835" max="15835" width="3.46484375" style="20" customWidth="1"/>
    <col min="15836" max="15836" width="11.19921875" style="20" customWidth="1"/>
    <col min="15837" max="15841" width="9.19921875" style="20"/>
    <col min="15842" max="15842" width="11.19921875" style="20" customWidth="1"/>
    <col min="15843" max="15843" width="11.53125" style="20" customWidth="1"/>
    <col min="15844" max="15844" width="11.265625" style="20" customWidth="1"/>
    <col min="15845" max="15845" width="9.19921875" style="20" customWidth="1"/>
    <col min="15846" max="15846" width="2.265625" style="20" customWidth="1"/>
    <col min="15847" max="16080" width="9.19921875" style="20"/>
    <col min="16081" max="16081" width="15.265625" style="20" customWidth="1"/>
    <col min="16082" max="16082" width="8.265625" style="20" customWidth="1"/>
    <col min="16083" max="16083" width="52.46484375" style="20" customWidth="1"/>
    <col min="16084" max="16084" width="9.19921875" style="20"/>
    <col min="16085" max="16085" width="11.796875" style="20" customWidth="1"/>
    <col min="16086" max="16086" width="9.73046875" style="20" customWidth="1"/>
    <col min="16087" max="16089" width="10.53125" style="20" customWidth="1"/>
    <col min="16090" max="16090" width="10.73046875" style="20" customWidth="1"/>
    <col min="16091" max="16091" width="3.46484375" style="20" customWidth="1"/>
    <col min="16092" max="16092" width="11.19921875" style="20" customWidth="1"/>
    <col min="16093" max="16097" width="9.19921875" style="20"/>
    <col min="16098" max="16098" width="11.19921875" style="20" customWidth="1"/>
    <col min="16099" max="16099" width="11.53125" style="20" customWidth="1"/>
    <col min="16100" max="16100" width="11.265625" style="20" customWidth="1"/>
    <col min="16101" max="16101" width="9.19921875" style="20" customWidth="1"/>
    <col min="16102" max="16102" width="2.265625" style="20" customWidth="1"/>
    <col min="16103" max="16384" width="9.19921875" style="20"/>
  </cols>
  <sheetData>
    <row r="1" spans="2:15" ht="15" customHeight="1" x14ac:dyDescent="0.9">
      <c r="B1" s="155"/>
      <c r="C1" s="155"/>
      <c r="D1" s="155"/>
    </row>
    <row r="2" spans="2:15" ht="19.05" customHeight="1" x14ac:dyDescent="0.9">
      <c r="B2" s="14"/>
      <c r="C2" s="14"/>
      <c r="D2" s="14"/>
      <c r="E2" s="19"/>
      <c r="F2" s="19"/>
      <c r="G2" s="38"/>
      <c r="H2" s="19"/>
      <c r="I2" s="19"/>
      <c r="J2" s="19"/>
      <c r="K2" s="19"/>
      <c r="L2" s="19"/>
    </row>
    <row r="3" spans="2:15" ht="18.75" customHeight="1" x14ac:dyDescent="0.9">
      <c r="B3" s="14"/>
      <c r="C3" s="14"/>
      <c r="D3" s="14"/>
      <c r="E3" s="19"/>
      <c r="F3" s="19"/>
      <c r="G3" s="38"/>
      <c r="H3" s="19"/>
      <c r="I3" s="19"/>
      <c r="J3" s="19"/>
      <c r="K3" s="19"/>
      <c r="L3" s="19"/>
    </row>
    <row r="4" spans="2:15" ht="12.75" customHeight="1" x14ac:dyDescent="0.7">
      <c r="B4" s="6" t="s">
        <v>62</v>
      </c>
      <c r="C4" s="1"/>
      <c r="D4" s="2"/>
      <c r="E4" s="19"/>
      <c r="F4" s="19"/>
      <c r="G4" s="19"/>
      <c r="H4" s="19"/>
      <c r="L4" s="79" t="s">
        <v>0</v>
      </c>
      <c r="M4" s="156" t="s">
        <v>1</v>
      </c>
      <c r="N4" s="156"/>
    </row>
    <row r="5" spans="2:15" ht="12.75" customHeight="1" x14ac:dyDescent="0.7">
      <c r="B5" s="8" t="s">
        <v>14</v>
      </c>
      <c r="C5" s="19"/>
      <c r="D5" s="19"/>
      <c r="E5" s="19"/>
      <c r="F5" s="19"/>
      <c r="G5" s="19"/>
      <c r="H5" s="19"/>
      <c r="I5" s="19"/>
      <c r="L5" s="10" t="s">
        <v>15</v>
      </c>
      <c r="M5" s="168">
        <v>44705</v>
      </c>
      <c r="N5" s="168"/>
      <c r="O5" s="168"/>
    </row>
    <row r="6" spans="2:15" ht="30" customHeight="1" thickBot="1" x14ac:dyDescent="0.75">
      <c r="B6" s="39"/>
      <c r="C6" s="19"/>
      <c r="D6" s="19"/>
      <c r="E6" s="19"/>
      <c r="F6" s="19"/>
      <c r="G6" s="19"/>
      <c r="H6" s="19"/>
      <c r="I6" s="19"/>
      <c r="L6" s="167" t="s">
        <v>39</v>
      </c>
      <c r="M6" s="167"/>
      <c r="N6" s="167"/>
      <c r="O6" s="64"/>
    </row>
    <row r="7" spans="2:15" s="47" customFormat="1" ht="25.5" customHeight="1" thickBot="1" x14ac:dyDescent="0.75">
      <c r="B7" s="96" t="s">
        <v>2</v>
      </c>
      <c r="C7" s="151" t="s">
        <v>36</v>
      </c>
      <c r="D7" s="151"/>
      <c r="E7" s="151"/>
      <c r="F7" s="151"/>
      <c r="G7" s="151"/>
      <c r="H7" s="151"/>
      <c r="I7" s="151"/>
      <c r="J7" s="151"/>
      <c r="K7" s="151"/>
      <c r="L7" s="97" t="s">
        <v>24</v>
      </c>
      <c r="M7" s="157" t="s">
        <v>49</v>
      </c>
      <c r="N7" s="158"/>
    </row>
    <row r="8" spans="2:15" ht="21" customHeight="1" thickBot="1" x14ac:dyDescent="0.65">
      <c r="B8" s="44"/>
      <c r="C8" s="45"/>
      <c r="D8" s="45"/>
      <c r="E8" s="45"/>
      <c r="F8" s="45"/>
      <c r="G8" s="45"/>
      <c r="H8" s="45"/>
      <c r="I8" s="45"/>
      <c r="J8" s="45"/>
      <c r="K8" s="45"/>
      <c r="L8" s="44"/>
      <c r="M8" s="46"/>
      <c r="N8" s="44"/>
    </row>
    <row r="9" spans="2:15" ht="46.15" x14ac:dyDescent="0.6">
      <c r="B9" s="73" t="s">
        <v>3</v>
      </c>
      <c r="C9" s="74" t="s">
        <v>4</v>
      </c>
      <c r="D9" s="74" t="s">
        <v>5</v>
      </c>
      <c r="E9" s="74" t="s">
        <v>26</v>
      </c>
      <c r="F9" s="74" t="s">
        <v>6</v>
      </c>
      <c r="G9" s="74" t="s">
        <v>7</v>
      </c>
      <c r="H9" s="74" t="s">
        <v>8</v>
      </c>
      <c r="I9" s="74" t="s">
        <v>9</v>
      </c>
      <c r="J9" s="74" t="s">
        <v>25</v>
      </c>
      <c r="K9" s="74" t="s">
        <v>10</v>
      </c>
      <c r="L9" s="74" t="s">
        <v>59</v>
      </c>
      <c r="M9" s="74" t="s">
        <v>47</v>
      </c>
      <c r="N9" s="75" t="s">
        <v>48</v>
      </c>
    </row>
    <row r="10" spans="2:15" ht="16.899999999999999" thickBot="1" x14ac:dyDescent="0.65">
      <c r="B10" s="68" t="s">
        <v>36</v>
      </c>
      <c r="C10" s="69" t="s">
        <v>46</v>
      </c>
      <c r="D10" s="69" t="s">
        <v>46</v>
      </c>
      <c r="E10" s="69" t="s">
        <v>46</v>
      </c>
      <c r="F10" s="70" t="s">
        <v>46</v>
      </c>
      <c r="G10" s="70" t="s">
        <v>46</v>
      </c>
      <c r="H10" s="70" t="s">
        <v>46</v>
      </c>
      <c r="I10" s="70" t="s">
        <v>46</v>
      </c>
      <c r="J10" s="70" t="s">
        <v>46</v>
      </c>
      <c r="K10" s="70" t="s">
        <v>46</v>
      </c>
      <c r="L10" s="70" t="s">
        <v>46</v>
      </c>
      <c r="M10" s="71">
        <v>0</v>
      </c>
      <c r="N10" s="72">
        <v>0</v>
      </c>
    </row>
    <row r="11" spans="2:15" ht="16.899999999999999" thickBot="1" x14ac:dyDescent="0.65">
      <c r="B11" s="166" t="s">
        <v>11</v>
      </c>
      <c r="C11" s="166"/>
      <c r="D11" s="166"/>
      <c r="E11" s="166"/>
      <c r="F11" s="166"/>
      <c r="G11" s="166"/>
      <c r="H11" s="166"/>
      <c r="I11" s="166"/>
      <c r="J11" s="166"/>
      <c r="K11" s="166"/>
      <c r="L11" s="166"/>
      <c r="M11" s="166"/>
      <c r="N11" s="166"/>
    </row>
    <row r="12" spans="2:15" ht="39" customHeight="1" x14ac:dyDescent="0.6">
      <c r="B12" s="159" t="s">
        <v>41</v>
      </c>
      <c r="C12" s="160"/>
      <c r="D12" s="160"/>
      <c r="E12" s="160"/>
      <c r="F12" s="160"/>
      <c r="G12" s="160"/>
      <c r="H12" s="160"/>
      <c r="I12" s="160"/>
      <c r="J12" s="160"/>
      <c r="K12" s="160"/>
      <c r="L12" s="148" t="s">
        <v>22</v>
      </c>
      <c r="M12" s="149"/>
      <c r="N12" s="150"/>
      <c r="O12" s="3"/>
    </row>
    <row r="13" spans="2:15" ht="31.5" customHeight="1" x14ac:dyDescent="0.6">
      <c r="B13" s="161" t="s">
        <v>42</v>
      </c>
      <c r="C13" s="162"/>
      <c r="D13" s="162"/>
      <c r="E13" s="162"/>
      <c r="F13" s="162"/>
      <c r="G13" s="162"/>
      <c r="H13" s="162"/>
      <c r="I13" s="162"/>
      <c r="J13" s="162"/>
      <c r="K13" s="162"/>
      <c r="L13" s="40"/>
      <c r="N13" s="41"/>
    </row>
    <row r="14" spans="2:15" ht="15" customHeight="1" x14ac:dyDescent="0.6">
      <c r="B14" s="163" t="s">
        <v>28</v>
      </c>
      <c r="C14" s="162"/>
      <c r="D14" s="162"/>
      <c r="E14" s="162"/>
      <c r="F14" s="162"/>
      <c r="G14" s="162"/>
      <c r="H14" s="162"/>
      <c r="I14" s="162"/>
      <c r="J14" s="162"/>
      <c r="K14" s="162"/>
      <c r="L14" s="145" t="s">
        <v>37</v>
      </c>
      <c r="M14" s="146"/>
      <c r="N14" s="147"/>
      <c r="O14" s="76"/>
    </row>
    <row r="15" spans="2:15" x14ac:dyDescent="0.6">
      <c r="B15" s="164" t="s">
        <v>12</v>
      </c>
      <c r="C15" s="165"/>
      <c r="D15" s="165"/>
      <c r="E15" s="165"/>
      <c r="F15" s="165"/>
      <c r="G15" s="165"/>
      <c r="H15" s="165"/>
      <c r="I15" s="165"/>
      <c r="J15" s="165"/>
      <c r="K15" s="165"/>
      <c r="L15" s="40"/>
      <c r="N15" s="41"/>
    </row>
    <row r="16" spans="2:15" ht="33" customHeight="1" x14ac:dyDescent="0.6">
      <c r="B16" s="163" t="s">
        <v>31</v>
      </c>
      <c r="C16" s="162"/>
      <c r="D16" s="162"/>
      <c r="E16" s="162"/>
      <c r="F16" s="162"/>
      <c r="G16" s="162"/>
      <c r="H16" s="162"/>
      <c r="I16" s="162"/>
      <c r="J16" s="162"/>
      <c r="K16" s="162"/>
      <c r="L16" s="172" t="s">
        <v>58</v>
      </c>
      <c r="M16" s="173"/>
      <c r="N16" s="174"/>
      <c r="O16" s="77"/>
    </row>
    <row r="17" spans="2:15" ht="15" customHeight="1" x14ac:dyDescent="0.6">
      <c r="B17" s="180" t="s">
        <v>29</v>
      </c>
      <c r="C17" s="181"/>
      <c r="D17" s="181"/>
      <c r="E17" s="181"/>
      <c r="F17" s="181"/>
      <c r="G17" s="181"/>
      <c r="H17" s="181"/>
      <c r="I17" s="181"/>
      <c r="J17" s="181"/>
      <c r="K17" s="181"/>
      <c r="L17" s="40"/>
      <c r="N17" s="41"/>
    </row>
    <row r="18" spans="2:15" ht="30.75" customHeight="1" x14ac:dyDescent="0.6">
      <c r="B18" s="178" t="s">
        <v>30</v>
      </c>
      <c r="C18" s="179"/>
      <c r="D18" s="179"/>
      <c r="E18" s="179"/>
      <c r="F18" s="179"/>
      <c r="G18" s="179"/>
      <c r="H18" s="179"/>
      <c r="I18" s="179"/>
      <c r="J18" s="179"/>
      <c r="K18" s="179"/>
      <c r="L18" s="175" t="s">
        <v>38</v>
      </c>
      <c r="M18" s="176"/>
      <c r="N18" s="177"/>
      <c r="O18" s="78"/>
    </row>
    <row r="19" spans="2:15" x14ac:dyDescent="0.6">
      <c r="B19" s="180" t="s">
        <v>13</v>
      </c>
      <c r="C19" s="181"/>
      <c r="D19" s="181"/>
      <c r="E19" s="181"/>
      <c r="F19" s="181"/>
      <c r="G19" s="181"/>
      <c r="H19" s="181"/>
      <c r="I19" s="181"/>
      <c r="J19" s="181"/>
      <c r="K19" s="181"/>
      <c r="L19" s="40"/>
      <c r="M19" s="184"/>
      <c r="N19" s="185"/>
    </row>
    <row r="20" spans="2:15" ht="53.25" customHeight="1" thickBot="1" x14ac:dyDescent="0.65">
      <c r="B20" s="182" t="s">
        <v>43</v>
      </c>
      <c r="C20" s="183"/>
      <c r="D20" s="183"/>
      <c r="E20" s="183"/>
      <c r="F20" s="183"/>
      <c r="G20" s="183"/>
      <c r="H20" s="183"/>
      <c r="I20" s="183"/>
      <c r="J20" s="183"/>
      <c r="K20" s="183"/>
      <c r="L20" s="57"/>
      <c r="M20" s="58"/>
      <c r="N20" s="42"/>
    </row>
    <row r="21" spans="2:15" s="50" customFormat="1" ht="28.5" customHeight="1" x14ac:dyDescent="0.45">
      <c r="B21" s="127" t="s">
        <v>33</v>
      </c>
      <c r="C21" s="128"/>
      <c r="D21" s="128"/>
      <c r="E21" s="128"/>
      <c r="F21" s="128"/>
      <c r="G21" s="128"/>
      <c r="H21" s="128"/>
      <c r="I21" s="128"/>
      <c r="J21" s="128"/>
      <c r="K21" s="129"/>
      <c r="L21" s="88"/>
      <c r="M21" s="89"/>
      <c r="N21" s="90"/>
    </row>
    <row r="22" spans="2:15" s="50" customFormat="1" ht="28.5" customHeight="1" x14ac:dyDescent="0.45">
      <c r="B22" s="98" t="s">
        <v>63</v>
      </c>
      <c r="C22" s="61"/>
      <c r="D22" s="61"/>
      <c r="E22" s="61"/>
      <c r="F22" s="61"/>
      <c r="G22" s="61"/>
      <c r="H22" s="61"/>
      <c r="I22" s="61"/>
      <c r="J22" s="61"/>
      <c r="K22" s="86"/>
      <c r="L22" s="91"/>
      <c r="M22" s="51"/>
      <c r="N22" s="52"/>
    </row>
    <row r="23" spans="2:15" s="50" customFormat="1" ht="51" customHeight="1" x14ac:dyDescent="0.45">
      <c r="B23" s="152" t="s">
        <v>44</v>
      </c>
      <c r="C23" s="153"/>
      <c r="D23" s="153"/>
      <c r="E23" s="153"/>
      <c r="F23" s="153"/>
      <c r="G23" s="153"/>
      <c r="H23" s="153"/>
      <c r="I23" s="153"/>
      <c r="J23" s="153"/>
      <c r="K23" s="154"/>
      <c r="L23" s="91"/>
      <c r="M23" s="51"/>
      <c r="N23" s="52"/>
    </row>
    <row r="24" spans="2:15" s="50" customFormat="1" ht="28.5" customHeight="1" x14ac:dyDescent="0.45">
      <c r="B24" s="169" t="s">
        <v>32</v>
      </c>
      <c r="C24" s="170"/>
      <c r="D24" s="170"/>
      <c r="E24" s="170"/>
      <c r="F24" s="170"/>
      <c r="G24" s="170"/>
      <c r="H24" s="170"/>
      <c r="I24" s="170"/>
      <c r="J24" s="170"/>
      <c r="K24" s="171"/>
      <c r="L24" s="85"/>
      <c r="N24" s="53"/>
    </row>
    <row r="25" spans="2:15" s="50" customFormat="1" ht="28.5" customHeight="1" thickBot="1" x14ac:dyDescent="0.5">
      <c r="B25" s="124" t="s">
        <v>27</v>
      </c>
      <c r="C25" s="125"/>
      <c r="D25" s="125"/>
      <c r="E25" s="125"/>
      <c r="F25" s="125"/>
      <c r="G25" s="125"/>
      <c r="H25" s="125"/>
      <c r="I25" s="125"/>
      <c r="J25" s="54"/>
      <c r="K25" s="99"/>
      <c r="L25" s="92"/>
      <c r="M25" s="55"/>
      <c r="N25" s="56"/>
    </row>
    <row r="26" spans="2:15" ht="15" customHeight="1" x14ac:dyDescent="0.6">
      <c r="B26" s="35"/>
      <c r="C26" s="35"/>
      <c r="D26" s="35"/>
      <c r="E26" s="35"/>
      <c r="F26" s="35"/>
      <c r="G26" s="32"/>
      <c r="H26" s="35"/>
      <c r="I26" s="33"/>
      <c r="J26" s="34"/>
      <c r="K26" s="34"/>
      <c r="L26" s="34"/>
    </row>
    <row r="27" spans="2:15" ht="15" customHeight="1" x14ac:dyDescent="0.6">
      <c r="B27" s="36"/>
      <c r="C27" s="29"/>
      <c r="D27" s="30"/>
      <c r="E27" s="37"/>
      <c r="F27" s="31"/>
      <c r="G27" s="32"/>
      <c r="H27" s="31"/>
      <c r="I27" s="33"/>
      <c r="J27" s="34"/>
      <c r="K27" s="34"/>
      <c r="L27" s="34"/>
    </row>
    <row r="30" spans="2:15" x14ac:dyDescent="0.6">
      <c r="I30"/>
    </row>
  </sheetData>
  <mergeCells count="26">
    <mergeCell ref="B25:I25"/>
    <mergeCell ref="B24:K24"/>
    <mergeCell ref="B21:K21"/>
    <mergeCell ref="L16:N16"/>
    <mergeCell ref="L18:N18"/>
    <mergeCell ref="B16:K16"/>
    <mergeCell ref="B18:K18"/>
    <mergeCell ref="B19:K19"/>
    <mergeCell ref="B20:K20"/>
    <mergeCell ref="B17:K17"/>
    <mergeCell ref="M19:N19"/>
    <mergeCell ref="C7:K7"/>
    <mergeCell ref="B23:K23"/>
    <mergeCell ref="B1:D1"/>
    <mergeCell ref="M4:N4"/>
    <mergeCell ref="M7:N7"/>
    <mergeCell ref="B12:K12"/>
    <mergeCell ref="B13:K13"/>
    <mergeCell ref="B14:K14"/>
    <mergeCell ref="B15:K15"/>
    <mergeCell ref="B11:L11"/>
    <mergeCell ref="L6:N6"/>
    <mergeCell ref="L12:N12"/>
    <mergeCell ref="L14:N14"/>
    <mergeCell ref="M11:N11"/>
    <mergeCell ref="M5:O5"/>
  </mergeCells>
  <hyperlinks>
    <hyperlink ref="B22" r:id="rId1" display="https://multivac.com/mx/es/excluded-from-navigation/terms-and-conditions" xr:uid="{F7D4A0D7-24EB-45F5-9D93-D82A40CF7184}"/>
  </hyperlinks>
  <pageMargins left="0.7" right="0.7" top="0.75" bottom="0.75" header="0.3" footer="0.3"/>
  <pageSetup scale="60" orientation="landscape" horizontalDpi="0" verticalDpi="0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D7"/>
  <sheetViews>
    <sheetView workbookViewId="0">
      <selection activeCell="D6" sqref="D6"/>
    </sheetView>
  </sheetViews>
  <sheetFormatPr baseColWidth="10" defaultColWidth="10.796875" defaultRowHeight="14.25" x14ac:dyDescent="0.45"/>
  <cols>
    <col min="2" max="2" width="6.265625" style="84" customWidth="1"/>
    <col min="3" max="3" width="15.73046875" bestFit="1" customWidth="1"/>
    <col min="4" max="4" width="15.46484375" style="84" customWidth="1"/>
  </cols>
  <sheetData>
    <row r="3" spans="2:4" ht="16.5" x14ac:dyDescent="0.6">
      <c r="B3" s="84">
        <v>1</v>
      </c>
      <c r="C3" t="s">
        <v>54</v>
      </c>
      <c r="D3" s="43" t="s">
        <v>50</v>
      </c>
    </row>
    <row r="4" spans="2:4" ht="16.5" x14ac:dyDescent="0.6">
      <c r="B4" s="84">
        <v>2</v>
      </c>
      <c r="C4" t="s">
        <v>55</v>
      </c>
      <c r="D4" s="43" t="s">
        <v>51</v>
      </c>
    </row>
    <row r="5" spans="2:4" ht="16.5" x14ac:dyDescent="0.6">
      <c r="B5" s="84">
        <v>3</v>
      </c>
      <c r="C5" t="s">
        <v>56</v>
      </c>
      <c r="D5" s="43" t="s">
        <v>52</v>
      </c>
    </row>
    <row r="6" spans="2:4" ht="16.5" x14ac:dyDescent="0.6">
      <c r="B6" s="84">
        <v>4</v>
      </c>
      <c r="C6" t="s">
        <v>57</v>
      </c>
      <c r="D6" s="43" t="s">
        <v>53</v>
      </c>
    </row>
    <row r="7" spans="2:4" ht="16.5" x14ac:dyDescent="0.45">
      <c r="B7" s="84">
        <v>5</v>
      </c>
      <c r="C7" t="s">
        <v>61</v>
      </c>
      <c r="D7" s="95" t="s">
        <v>60</v>
      </c>
    </row>
  </sheetData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39AAAF081AA0CA42AD1F5C489BF8DC55" ma:contentTypeVersion="18" ma:contentTypeDescription="Ein neues Dokument erstellen." ma:contentTypeScope="" ma:versionID="f7ee28230f1162d7edaa3849aebf24cc">
  <xsd:schema xmlns:xsd="http://www.w3.org/2001/XMLSchema" xmlns:xs="http://www.w3.org/2001/XMLSchema" xmlns:p="http://schemas.microsoft.com/office/2006/metadata/properties" xmlns:ns3="53800eb7-c5c5-42e0-be6e-3e1d8fa1f6fb" xmlns:ns4="457ff739-cf6e-4f9f-a8af-63d513efb00e" targetNamespace="http://schemas.microsoft.com/office/2006/metadata/properties" ma:root="true" ma:fieldsID="4dbaf09fc3f2ced18a8b3e8f85cb3f9f" ns3:_="" ns4:_="">
    <xsd:import namespace="53800eb7-c5c5-42e0-be6e-3e1d8fa1f6fb"/>
    <xsd:import namespace="457ff739-cf6e-4f9f-a8af-63d513efb00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LengthInSecond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800eb7-c5c5-42e0-be6e-3e1d8fa1f6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7ff739-cf6e-4f9f-a8af-63d513efb00e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1" nillable="true" ma:displayName="Freigabehinweis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3800eb7-c5c5-42e0-be6e-3e1d8fa1f6fb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C911745-3720-48BD-9F9A-D88CE779C2C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3800eb7-c5c5-42e0-be6e-3e1d8fa1f6fb"/>
    <ds:schemaRef ds:uri="457ff739-cf6e-4f9f-a8af-63d513efb0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FB2FAA3-D45E-416C-82FC-E658FE68BF7A}">
  <ds:schemaRefs>
    <ds:schemaRef ds:uri="http://purl.org/dc/terms/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53800eb7-c5c5-42e0-be6e-3e1d8fa1f6fb"/>
    <ds:schemaRef ds:uri="457ff739-cf6e-4f9f-a8af-63d513efb00e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13AAB1E2-A6A8-4274-B94A-D692A1BDA58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Fromato No. 1</vt:lpstr>
      <vt:lpstr>Formato No. 2</vt:lpstr>
      <vt:lpstr>Codigo de Vendedores </vt:lpstr>
      <vt:lpstr>'Fromato No. 1'!Área_de_impresión</vt:lpstr>
    </vt:vector>
  </TitlesOfParts>
  <Company>MULTIVAC Sepp Haggenmüller SE &amp; Co. KG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Rogelio Sosa</dc:creator>
  <cp:lastModifiedBy>Aldo Manzur</cp:lastModifiedBy>
  <cp:lastPrinted>2023-10-04T17:34:06Z</cp:lastPrinted>
  <dcterms:created xsi:type="dcterms:W3CDTF">2021-09-29T20:45:45Z</dcterms:created>
  <dcterms:modified xsi:type="dcterms:W3CDTF">2026-03-03T13:45:39Z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0x01010039AAAF081AA0CA42AD1F5C489BF8DC55</vt:lpwstr>
  </property>
</Properties>
</file>